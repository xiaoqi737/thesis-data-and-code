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060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<sst xmlns="http://schemas.openxmlformats.org/spreadsheetml/2006/main" count="409" uniqueCount="57">
  <si>
    <r>
      <rPr>
        <sz val="11"/>
        <rFont val="Calibri"/>
        <charset val="134"/>
      </rPr>
      <t>p</t>
    </r>
    <r>
      <rPr>
        <sz val="11"/>
        <rFont val="宋体"/>
        <charset val="134"/>
      </rPr>
      <t>值</t>
    </r>
  </si>
  <si>
    <t>MSE</t>
  </si>
  <si>
    <t>斜率</t>
  </si>
  <si>
    <t>常数</t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</si>
  <si>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</si>
  <si>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</si>
  <si>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</si>
  <si>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</si>
  <si>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</si>
  <si>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</si>
  <si>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</si>
  <si>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</si>
  <si>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</si>
  <si>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</si>
  <si>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</si>
  <si>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</si>
  <si>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</si>
  <si>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</si>
  <si>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</si>
  <si>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</si>
  <si>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</si>
  <si>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</si>
  <si>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</si>
  <si>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</si>
  <si>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</si>
  <si>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</si>
  <si>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</si>
  <si>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</si>
  <si>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</si>
  <si>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</si>
  <si>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</si>
  <si>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</si>
  <si>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</si>
  <si>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</si>
  <si>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</si>
  <si>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</si>
  <si>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</si>
  <si>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</si>
  <si>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</si>
  <si>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</si>
  <si>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</si>
  <si>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</si>
  <si>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</si>
  <si>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</si>
  <si>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</si>
  <si>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</si>
  <si>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</si>
  <si>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</si>
  <si>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</si>
  <si>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R&amp;D经费（万元）</t>
  </si>
  <si>
    <t>新产品开发经费支出（万元）</t>
  </si>
  <si>
    <t>R&amp;D人员全时当量（人年）</t>
  </si>
  <si>
    <t>新产品销售收入（万元）</t>
  </si>
  <si>
    <t>有效发明专利数（件）</t>
  </si>
  <si>
    <t>p值</t>
  </si>
  <si>
    <t>&lt;0.05</t>
  </si>
  <si>
    <t>&gt;0.05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</si>
</sst>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wrapText="1"/>
    </xf>
    <xf numFmtId="176" fontId="0" fillId="0" borderId="0" xfId="0" applyNumberFormat="1">
      <alignment vertical="center"/>
    </xf>
    <xf numFmtId="176" fontId="3" fillId="0" borderId="0" xfId="0" applyNumberFormat="1" applyFont="1" applyFill="1" applyAlignment="1"/>
    <xf numFmtId="176" fontId="1" fillId="0" borderId="0" xfId="0" applyNumberFormat="1" applyFont="1" applyFill="1" applyAlignment="1"/>
    <xf numFmtId="0" fontId="2" fillId="0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0" borderId="0" xfId="0" applyFont="1" applyFill="1" applyAlignment="1"/>
    <xf numFmtId="0" fontId="2" fillId="0" borderId="0" xfId="0" applyNumberFormat="1" applyFont="1" applyFill="1" applyAlignment="1">
      <alignment horizontal="center" wrapText="1"/>
    </xf>
    <xf numFmtId="0" fontId="3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zoomScale="115" zoomScaleNormal="115" workbookViewId="0">
      <selection activeCell="F2" sqref="F2"/>
    </sheetView>
  </sheetViews>
  <sheetFormatPr defaultColWidth="8.88888888888889" defaultRowHeight="14.4"/>
  <cols>
    <col min="6" max="18" width="12.8888888888889"/>
  </cols>
  <sheetData>
    <row r="1" spans="1:18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9">
        <v>2012</v>
      </c>
      <c r="G1" s="9">
        <v>2013</v>
      </c>
      <c r="H1" s="9">
        <v>2014</v>
      </c>
      <c r="I1" s="9">
        <v>2015</v>
      </c>
      <c r="J1" s="9">
        <v>2016</v>
      </c>
      <c r="K1" s="9">
        <v>2017</v>
      </c>
      <c r="L1" s="9">
        <v>2018</v>
      </c>
      <c r="M1" s="9">
        <v>2019</v>
      </c>
      <c r="N1" s="9">
        <v>2020</v>
      </c>
      <c r="O1" s="9">
        <v>2021</v>
      </c>
      <c r="P1" s="9">
        <v>2022</v>
      </c>
      <c r="Q1" s="9">
        <v>2023</v>
      </c>
      <c r="R1" s="9">
        <v>2024</v>
      </c>
    </row>
    <row r="2" spans="1:18">
      <c r="A2" s="8">
        <v>8.63561665625026e-7</v>
      </c>
      <c r="B2" s="8">
        <v>3329.28215128133</v>
      </c>
      <c r="C2" s="8">
        <v>42.1092679670332</v>
      </c>
      <c r="D2" s="8">
        <v>-84533.4578851653</v>
      </c>
      <c r="E2" s="6" t="s">
        <v>5</v>
      </c>
      <c r="F2" s="8">
        <f>$B2*(1+(1/13)+(((F$1-2018)^2)/(((2012-2018)^2)+((2013-2018)^2)+((2014-2018)^2)+((2015-2018)^2)+((2016-2018)^2)+((2017-2018)^2)+((2018-2018)^2)+((2019-2018)^2)+((2020-2018)^2)+((2021-2018)^2)+((2022-2018)^2)+((2023-2018)^2)+((2024-2018)^2))))</f>
        <v>4243.92010493004</v>
      </c>
      <c r="G2" s="8">
        <f t="shared" ref="G2:R2" si="0">$B2*(1+(1/13)+(((G$1-2018)^2)/(((2012-2018)^2)+((2013-2018)^2)+((2014-2018)^2)+((2015-2018)^2)+((2016-2018)^2)+((2017-2018)^2)+((2018-2018)^2)+((2019-2018)^2)+((2020-2018)^2)+((2021-2018)^2)+((2022-2018)^2)+((2023-2018)^2)+((2024-2018)^2))))</f>
        <v>4042.69975512732</v>
      </c>
      <c r="H2" s="8">
        <f t="shared" si="0"/>
        <v>3878.06492347055</v>
      </c>
      <c r="I2" s="8">
        <f t="shared" si="0"/>
        <v>3750.01560995973</v>
      </c>
      <c r="J2" s="8">
        <f t="shared" si="0"/>
        <v>3658.55181459486</v>
      </c>
      <c r="K2" s="8">
        <f t="shared" si="0"/>
        <v>3603.67353737594</v>
      </c>
      <c r="L2" s="8">
        <f t="shared" si="0"/>
        <v>3585.38077830297</v>
      </c>
      <c r="M2" s="8">
        <f t="shared" si="0"/>
        <v>3603.67353737594</v>
      </c>
      <c r="N2" s="8">
        <f t="shared" si="0"/>
        <v>3658.55181459486</v>
      </c>
      <c r="O2" s="8">
        <f t="shared" si="0"/>
        <v>3750.01560995973</v>
      </c>
      <c r="P2" s="8">
        <f t="shared" si="0"/>
        <v>3878.06492347055</v>
      </c>
      <c r="Q2" s="8">
        <f t="shared" si="0"/>
        <v>4042.69975512732</v>
      </c>
      <c r="R2" s="8">
        <f t="shared" si="0"/>
        <v>4243.92010493004</v>
      </c>
    </row>
    <row r="3" spans="1:18">
      <c r="A3" s="8">
        <v>0.0355185001542295</v>
      </c>
      <c r="B3" s="8">
        <v>1210.27474581549</v>
      </c>
      <c r="C3" s="8">
        <v>6.17717725274725</v>
      </c>
      <c r="D3" s="8">
        <v>-12205.7265175824</v>
      </c>
      <c r="E3" s="6" t="s">
        <v>6</v>
      </c>
      <c r="F3" s="8">
        <f t="shared" ref="F3:F32" si="1">$B3*(1+(1/13)+(((F$1-2018)^2)/(((2012-2018)^2)+((2013-2018)^2)+((2014-2018)^2)+((2015-2018)^2)+((2016-2018)^2)+((2017-2018)^2)+((2018-2018)^2)+((2019-2018)^2)+((2020-2018)^2)+((2021-2018)^2)+((2022-2018)^2)+((2023-2018)^2)+((2024-2018)^2))))</f>
        <v>1542.76780785271</v>
      </c>
      <c r="G3" s="8">
        <f t="shared" ref="G3:R3" si="2">$B3*(1+(1/13)+(((G$1-2018)^2)/(((2012-2018)^2)+((2013-2018)^2)+((2014-2018)^2)+((2015-2018)^2)+((2016-2018)^2)+((2017-2018)^2)+((2018-2018)^2)+((2019-2018)^2)+((2020-2018)^2)+((2021-2018)^2)+((2022-2018)^2)+((2023-2018)^2)+((2024-2018)^2))))</f>
        <v>1469.61933420452</v>
      </c>
      <c r="H3" s="8">
        <f t="shared" si="2"/>
        <v>1409.77058303782</v>
      </c>
      <c r="I3" s="8">
        <f t="shared" si="2"/>
        <v>1363.22155435261</v>
      </c>
      <c r="J3" s="8">
        <f t="shared" si="2"/>
        <v>1329.97224814888</v>
      </c>
      <c r="K3" s="8">
        <f t="shared" si="2"/>
        <v>1310.02266442665</v>
      </c>
      <c r="L3" s="8">
        <f t="shared" si="2"/>
        <v>1303.37280318591</v>
      </c>
      <c r="M3" s="8">
        <f t="shared" si="2"/>
        <v>1310.02266442665</v>
      </c>
      <c r="N3" s="8">
        <f t="shared" si="2"/>
        <v>1329.97224814888</v>
      </c>
      <c r="O3" s="8">
        <f t="shared" si="2"/>
        <v>1363.22155435261</v>
      </c>
      <c r="P3" s="8">
        <f t="shared" si="2"/>
        <v>1409.77058303782</v>
      </c>
      <c r="Q3" s="8">
        <f t="shared" si="2"/>
        <v>1469.61933420452</v>
      </c>
      <c r="R3" s="8">
        <f t="shared" si="2"/>
        <v>1542.76780785271</v>
      </c>
    </row>
    <row r="4" spans="1:18">
      <c r="A4" s="8">
        <v>7.61780566525657e-8</v>
      </c>
      <c r="B4" s="8">
        <v>5713.91376328876</v>
      </c>
      <c r="C4" s="8">
        <v>70.0571569780224</v>
      </c>
      <c r="D4" s="8">
        <v>-140887.392131649</v>
      </c>
      <c r="E4" s="6" t="s">
        <v>7</v>
      </c>
      <c r="F4" s="8">
        <f t="shared" si="1"/>
        <v>7283.67029166479</v>
      </c>
      <c r="G4" s="8">
        <f t="shared" ref="G4:R4" si="3">$B4*(1+(1/13)+(((G$1-2018)^2)/(((2012-2018)^2)+((2013-2018)^2)+((2014-2018)^2)+((2015-2018)^2)+((2016-2018)^2)+((2017-2018)^2)+((2018-2018)^2)+((2019-2018)^2)+((2020-2018)^2)+((2021-2018)^2)+((2022-2018)^2)+((2023-2018)^2)+((2024-2018)^2))))</f>
        <v>6938.32385542206</v>
      </c>
      <c r="H4" s="8">
        <f t="shared" si="3"/>
        <v>6655.76768031437</v>
      </c>
      <c r="I4" s="8">
        <f t="shared" si="3"/>
        <v>6436.00176634173</v>
      </c>
      <c r="J4" s="8">
        <f t="shared" si="3"/>
        <v>6279.02611350413</v>
      </c>
      <c r="K4" s="8">
        <f t="shared" si="3"/>
        <v>6184.84072180156</v>
      </c>
      <c r="L4" s="8">
        <f t="shared" si="3"/>
        <v>6153.44559123404</v>
      </c>
      <c r="M4" s="8">
        <f t="shared" si="3"/>
        <v>6184.84072180156</v>
      </c>
      <c r="N4" s="8">
        <f t="shared" si="3"/>
        <v>6279.02611350413</v>
      </c>
      <c r="O4" s="8">
        <f t="shared" si="3"/>
        <v>6436.00176634173</v>
      </c>
      <c r="P4" s="8">
        <f t="shared" si="3"/>
        <v>6655.76768031437</v>
      </c>
      <c r="Q4" s="8">
        <f t="shared" si="3"/>
        <v>6938.32385542206</v>
      </c>
      <c r="R4" s="8">
        <f t="shared" si="3"/>
        <v>7283.67029166479</v>
      </c>
    </row>
    <row r="5" spans="1:18">
      <c r="A5" s="8">
        <v>6.81024579606627e-5</v>
      </c>
      <c r="B5" s="8">
        <v>591.69907399229</v>
      </c>
      <c r="C5" s="8">
        <v>11.1612681318682</v>
      </c>
      <c r="D5" s="8">
        <v>-22390.2378024177</v>
      </c>
      <c r="E5" s="6" t="s">
        <v>8</v>
      </c>
      <c r="F5" s="8">
        <f t="shared" si="1"/>
        <v>754.253764649513</v>
      </c>
      <c r="G5" s="8">
        <f t="shared" ref="G5:R5" si="4">$B5*(1+(1/13)+(((G$1-2018)^2)/(((2012-2018)^2)+((2013-2018)^2)+((2014-2018)^2)+((2015-2018)^2)+((2016-2018)^2)+((2017-2018)^2)+((2018-2018)^2)+((2019-2018)^2)+((2020-2018)^2)+((2021-2018)^2)+((2022-2018)^2)+((2023-2018)^2)+((2024-2018)^2))))</f>
        <v>718.491732704924</v>
      </c>
      <c r="H5" s="8">
        <f t="shared" si="4"/>
        <v>689.231888386624</v>
      </c>
      <c r="I5" s="8">
        <f t="shared" si="4"/>
        <v>666.474231694613</v>
      </c>
      <c r="J5" s="8">
        <f t="shared" si="4"/>
        <v>650.21876262889</v>
      </c>
      <c r="K5" s="8">
        <f t="shared" si="4"/>
        <v>640.465481189457</v>
      </c>
      <c r="L5" s="8">
        <f t="shared" si="4"/>
        <v>637.214387376313</v>
      </c>
      <c r="M5" s="8">
        <f t="shared" si="4"/>
        <v>640.465481189457</v>
      </c>
      <c r="N5" s="8">
        <f t="shared" si="4"/>
        <v>650.21876262889</v>
      </c>
      <c r="O5" s="8">
        <f t="shared" si="4"/>
        <v>666.474231694613</v>
      </c>
      <c r="P5" s="8">
        <f t="shared" si="4"/>
        <v>689.231888386624</v>
      </c>
      <c r="Q5" s="8">
        <f t="shared" si="4"/>
        <v>718.491732704924</v>
      </c>
      <c r="R5" s="8">
        <f t="shared" si="4"/>
        <v>754.253764649513</v>
      </c>
    </row>
    <row r="6" spans="1:18">
      <c r="A6" s="8">
        <v>3.8446867387253e-5</v>
      </c>
      <c r="B6" s="8">
        <v>845.565632773846</v>
      </c>
      <c r="C6" s="8">
        <v>14.2338626923078</v>
      </c>
      <c r="D6" s="8">
        <v>-28614.8146100002</v>
      </c>
      <c r="E6" s="6" t="s">
        <v>9</v>
      </c>
      <c r="F6" s="8">
        <f t="shared" si="1"/>
        <v>1077.86388353589</v>
      </c>
      <c r="G6" s="8">
        <f t="shared" ref="G6:R6" si="5">$B6*(1+(1/13)+(((G$1-2018)^2)/(((2012-2018)^2)+((2013-2018)^2)+((2014-2018)^2)+((2015-2018)^2)+((2016-2018)^2)+((2017-2018)^2)+((2018-2018)^2)+((2019-2018)^2)+((2020-2018)^2)+((2021-2018)^2)+((2022-2018)^2)+((2023-2018)^2)+((2024-2018)^2))))</f>
        <v>1026.75826836824</v>
      </c>
      <c r="H6" s="8">
        <f t="shared" si="5"/>
        <v>984.944583231073</v>
      </c>
      <c r="I6" s="8">
        <f t="shared" si="5"/>
        <v>952.422828124386</v>
      </c>
      <c r="J6" s="8">
        <f t="shared" si="5"/>
        <v>929.193003048182</v>
      </c>
      <c r="K6" s="8">
        <f t="shared" si="5"/>
        <v>915.255108002459</v>
      </c>
      <c r="L6" s="8">
        <f t="shared" si="5"/>
        <v>910.609142987218</v>
      </c>
      <c r="M6" s="8">
        <f t="shared" si="5"/>
        <v>915.255108002459</v>
      </c>
      <c r="N6" s="8">
        <f t="shared" si="5"/>
        <v>929.193003048182</v>
      </c>
      <c r="O6" s="8">
        <f t="shared" si="5"/>
        <v>952.422828124386</v>
      </c>
      <c r="P6" s="8">
        <f t="shared" si="5"/>
        <v>984.944583231073</v>
      </c>
      <c r="Q6" s="8">
        <f t="shared" si="5"/>
        <v>1026.75826836824</v>
      </c>
      <c r="R6" s="8">
        <f t="shared" si="5"/>
        <v>1077.86388353589</v>
      </c>
    </row>
    <row r="7" spans="1:18">
      <c r="A7" s="8">
        <v>0.00128852111778896</v>
      </c>
      <c r="B7" s="8">
        <v>1624.5910001086</v>
      </c>
      <c r="C7" s="8">
        <v>12.8014018681319</v>
      </c>
      <c r="D7" s="8">
        <v>-25496.0888083518</v>
      </c>
      <c r="E7" s="6" t="s">
        <v>10</v>
      </c>
      <c r="F7" s="8">
        <f t="shared" si="1"/>
        <v>2070.90720892964</v>
      </c>
      <c r="G7" s="8">
        <f t="shared" ref="G7:R7" si="6">$B7*(1+(1/13)+(((G$1-2018)^2)/(((2012-2018)^2)+((2013-2018)^2)+((2014-2018)^2)+((2015-2018)^2)+((2016-2018)^2)+((2017-2018)^2)+((2018-2018)^2)+((2019-2018)^2)+((2020-2018)^2)+((2021-2018)^2)+((2022-2018)^2)+((2023-2018)^2)+((2024-2018)^2))))</f>
        <v>1972.71764298901</v>
      </c>
      <c r="H7" s="8">
        <f t="shared" si="6"/>
        <v>1892.38072540122</v>
      </c>
      <c r="I7" s="8">
        <f t="shared" si="6"/>
        <v>1829.89645616627</v>
      </c>
      <c r="J7" s="8">
        <f t="shared" si="6"/>
        <v>1785.26483528417</v>
      </c>
      <c r="K7" s="8">
        <f t="shared" si="6"/>
        <v>1758.48586275491</v>
      </c>
      <c r="L7" s="8">
        <f t="shared" si="6"/>
        <v>1749.55953857849</v>
      </c>
      <c r="M7" s="8">
        <f t="shared" si="6"/>
        <v>1758.48586275491</v>
      </c>
      <c r="N7" s="8">
        <f t="shared" si="6"/>
        <v>1785.26483528417</v>
      </c>
      <c r="O7" s="8">
        <f t="shared" si="6"/>
        <v>1829.89645616627</v>
      </c>
      <c r="P7" s="8">
        <f t="shared" si="6"/>
        <v>1892.38072540122</v>
      </c>
      <c r="Q7" s="8">
        <f t="shared" si="6"/>
        <v>1972.71764298901</v>
      </c>
      <c r="R7" s="8">
        <f t="shared" si="6"/>
        <v>2070.90720892964</v>
      </c>
    </row>
    <row r="8" spans="1:18">
      <c r="A8" s="8">
        <v>5.27938456111902e-7</v>
      </c>
      <c r="B8" s="8">
        <v>304.120663753238</v>
      </c>
      <c r="C8" s="8">
        <v>13.368353901099</v>
      </c>
      <c r="D8" s="8">
        <v>-26834.2658093409</v>
      </c>
      <c r="E8" s="6" t="s">
        <v>11</v>
      </c>
      <c r="F8" s="8">
        <f t="shared" si="1"/>
        <v>387.670296652479</v>
      </c>
      <c r="G8" s="8">
        <f t="shared" ref="G8:R8" si="7">$B8*(1+(1/13)+(((G$1-2018)^2)/(((2012-2018)^2)+((2013-2018)^2)+((2014-2018)^2)+((2015-2018)^2)+((2016-2018)^2)+((2017-2018)^2)+((2018-2018)^2)+((2019-2018)^2)+((2020-2018)^2)+((2021-2018)^2)+((2022-2018)^2)+((2023-2018)^2)+((2024-2018)^2))))</f>
        <v>369.289377414646</v>
      </c>
      <c r="H8" s="8">
        <f t="shared" si="7"/>
        <v>354.250443492782</v>
      </c>
      <c r="I8" s="8">
        <f t="shared" si="7"/>
        <v>342.553494886888</v>
      </c>
      <c r="J8" s="8">
        <f t="shared" si="7"/>
        <v>334.198531596964</v>
      </c>
      <c r="K8" s="8">
        <f t="shared" si="7"/>
        <v>329.18555362301</v>
      </c>
      <c r="L8" s="8">
        <f t="shared" si="7"/>
        <v>327.514560965025</v>
      </c>
      <c r="M8" s="8">
        <f t="shared" si="7"/>
        <v>329.18555362301</v>
      </c>
      <c r="N8" s="8">
        <f t="shared" si="7"/>
        <v>334.198531596964</v>
      </c>
      <c r="O8" s="8">
        <f t="shared" si="7"/>
        <v>342.553494886888</v>
      </c>
      <c r="P8" s="8">
        <f t="shared" si="7"/>
        <v>354.250443492782</v>
      </c>
      <c r="Q8" s="8">
        <f t="shared" si="7"/>
        <v>369.289377414646</v>
      </c>
      <c r="R8" s="8">
        <f t="shared" si="7"/>
        <v>387.670296652479</v>
      </c>
    </row>
    <row r="9" spans="1:18">
      <c r="A9" s="8">
        <v>0.0185844732078256</v>
      </c>
      <c r="B9" s="8">
        <v>332.461194656751</v>
      </c>
      <c r="C9" s="8">
        <v>3.72913681318682</v>
      </c>
      <c r="D9" s="8">
        <v>-7438.8269536264</v>
      </c>
      <c r="E9" s="6" t="s">
        <v>12</v>
      </c>
      <c r="F9" s="8">
        <f t="shared" si="1"/>
        <v>423.79668769432</v>
      </c>
      <c r="G9" s="8">
        <f t="shared" ref="G9:R9" si="8">$B9*(1+(1/13)+(((G$1-2018)^2)/(((2012-2018)^2)+((2013-2018)^2)+((2014-2018)^2)+((2015-2018)^2)+((2016-2018)^2)+((2017-2018)^2)+((2018-2018)^2)+((2019-2018)^2)+((2020-2018)^2)+((2021-2018)^2)+((2022-2018)^2)+((2023-2018)^2)+((2024-2018)^2))))</f>
        <v>403.702879226055</v>
      </c>
      <c r="H9" s="8">
        <f t="shared" si="8"/>
        <v>387.262490479293</v>
      </c>
      <c r="I9" s="8">
        <f t="shared" si="8"/>
        <v>374.475521454033</v>
      </c>
      <c r="J9" s="8">
        <f t="shared" si="8"/>
        <v>365.341972150276</v>
      </c>
      <c r="K9" s="8">
        <f t="shared" si="8"/>
        <v>359.861842568022</v>
      </c>
      <c r="L9" s="8">
        <f t="shared" si="8"/>
        <v>358.035132707271</v>
      </c>
      <c r="M9" s="8">
        <f t="shared" si="8"/>
        <v>359.861842568022</v>
      </c>
      <c r="N9" s="8">
        <f t="shared" si="8"/>
        <v>365.341972150276</v>
      </c>
      <c r="O9" s="8">
        <f t="shared" si="8"/>
        <v>374.475521454033</v>
      </c>
      <c r="P9" s="8">
        <f t="shared" si="8"/>
        <v>387.262490479293</v>
      </c>
      <c r="Q9" s="8">
        <f t="shared" si="8"/>
        <v>403.702879226055</v>
      </c>
      <c r="R9" s="8">
        <f t="shared" si="8"/>
        <v>423.79668769432</v>
      </c>
    </row>
    <row r="10" spans="1:18">
      <c r="A10" s="8">
        <v>2.03781424839876e-8</v>
      </c>
      <c r="B10" s="8">
        <v>4478.63576676094</v>
      </c>
      <c r="C10" s="8">
        <v>70.4032619230772</v>
      </c>
      <c r="D10" s="8">
        <v>-141250.45327077</v>
      </c>
      <c r="E10" s="6" t="s">
        <v>13</v>
      </c>
      <c r="F10" s="8">
        <f t="shared" si="1"/>
        <v>5709.03020817878</v>
      </c>
      <c r="G10" s="8">
        <f t="shared" ref="G10:R10" si="9">$B10*(1+(1/13)+(((G$1-2018)^2)/(((2012-2018)^2)+((2013-2018)^2)+((2014-2018)^2)+((2015-2018)^2)+((2016-2018)^2)+((2017-2018)^2)+((2018-2018)^2)+((2019-2018)^2)+((2020-2018)^2)+((2021-2018)^2)+((2022-2018)^2)+((2023-2018)^2)+((2024-2018)^2))))</f>
        <v>5438.34343106685</v>
      </c>
      <c r="H10" s="8">
        <f t="shared" si="9"/>
        <v>5216.87243161164</v>
      </c>
      <c r="I10" s="8">
        <f t="shared" si="9"/>
        <v>5044.61720981315</v>
      </c>
      <c r="J10" s="8">
        <f t="shared" si="9"/>
        <v>4921.57776567136</v>
      </c>
      <c r="K10" s="8">
        <f t="shared" si="9"/>
        <v>4847.75409918629</v>
      </c>
      <c r="L10" s="8">
        <f t="shared" si="9"/>
        <v>4823.14621035793</v>
      </c>
      <c r="M10" s="8">
        <f t="shared" si="9"/>
        <v>4847.75409918629</v>
      </c>
      <c r="N10" s="8">
        <f t="shared" si="9"/>
        <v>4921.57776567136</v>
      </c>
      <c r="O10" s="8">
        <f t="shared" si="9"/>
        <v>5044.61720981315</v>
      </c>
      <c r="P10" s="8">
        <f t="shared" si="9"/>
        <v>5216.87243161164</v>
      </c>
      <c r="Q10" s="8">
        <f t="shared" si="9"/>
        <v>5438.34343106685</v>
      </c>
      <c r="R10" s="8">
        <f t="shared" si="9"/>
        <v>5709.03020817878</v>
      </c>
    </row>
    <row r="11" spans="1:18">
      <c r="A11" s="8">
        <v>2.69433636931614e-8</v>
      </c>
      <c r="B11" s="8">
        <v>57328.6546334389</v>
      </c>
      <c r="C11" s="8">
        <v>245.251040054946</v>
      </c>
      <c r="D11" s="8">
        <v>-492279.527684728</v>
      </c>
      <c r="E11" s="6" t="s">
        <v>14</v>
      </c>
      <c r="F11" s="8">
        <f t="shared" si="1"/>
        <v>73078.2850272407</v>
      </c>
      <c r="G11" s="8">
        <f t="shared" ref="G11:R11" si="10">$B11*(1+(1/13)+(((G$1-2018)^2)/(((2012-2018)^2)+((2013-2018)^2)+((2014-2018)^2)+((2015-2018)^2)+((2016-2018)^2)+((2017-2018)^2)+((2018-2018)^2)+((2019-2018)^2)+((2020-2018)^2)+((2021-2018)^2)+((2022-2018)^2)+((2023-2018)^2)+((2024-2018)^2))))</f>
        <v>69613.3663406043</v>
      </c>
      <c r="H11" s="8">
        <f t="shared" si="10"/>
        <v>66778.43286972</v>
      </c>
      <c r="I11" s="8">
        <f t="shared" si="10"/>
        <v>64573.4846145877</v>
      </c>
      <c r="J11" s="8">
        <f t="shared" si="10"/>
        <v>62998.5215752075</v>
      </c>
      <c r="K11" s="8">
        <f t="shared" si="10"/>
        <v>62053.5437515794</v>
      </c>
      <c r="L11" s="8">
        <f t="shared" si="10"/>
        <v>61738.5511437034</v>
      </c>
      <c r="M11" s="8">
        <f t="shared" si="10"/>
        <v>62053.5437515794</v>
      </c>
      <c r="N11" s="8">
        <f t="shared" si="10"/>
        <v>62998.5215752075</v>
      </c>
      <c r="O11" s="8">
        <f t="shared" si="10"/>
        <v>64573.4846145877</v>
      </c>
      <c r="P11" s="8">
        <f t="shared" si="10"/>
        <v>66778.43286972</v>
      </c>
      <c r="Q11" s="8">
        <f t="shared" si="10"/>
        <v>69613.3663406043</v>
      </c>
      <c r="R11" s="8">
        <f t="shared" si="10"/>
        <v>73078.2850272407</v>
      </c>
    </row>
    <row r="12" spans="1:18">
      <c r="A12" s="8">
        <v>6.33970163691156e-7</v>
      </c>
      <c r="B12" s="8">
        <v>82842.4817245345</v>
      </c>
      <c r="C12" s="8">
        <v>216.651482582419</v>
      </c>
      <c r="D12" s="8">
        <v>-435567.112681321</v>
      </c>
      <c r="E12" s="6" t="s">
        <v>15</v>
      </c>
      <c r="F12" s="8">
        <f t="shared" si="1"/>
        <v>105601.405275231</v>
      </c>
      <c r="G12" s="8">
        <f t="shared" ref="G12:R12" si="11">$B12*(1+(1/13)+(((G$1-2018)^2)/(((2012-2018)^2)+((2013-2018)^2)+((2014-2018)^2)+((2015-2018)^2)+((2016-2018)^2)+((2017-2018)^2)+((2018-2018)^2)+((2019-2018)^2)+((2020-2018)^2)+((2021-2018)^2)+((2022-2018)^2)+((2023-2018)^2)+((2024-2018)^2))))</f>
        <v>100594.442094078</v>
      </c>
      <c r="H12" s="8">
        <f t="shared" si="11"/>
        <v>96497.8358549523</v>
      </c>
      <c r="I12" s="8">
        <f t="shared" si="11"/>
        <v>93311.5865578548</v>
      </c>
      <c r="J12" s="8">
        <f t="shared" si="11"/>
        <v>91035.6942027852</v>
      </c>
      <c r="K12" s="8">
        <f t="shared" si="11"/>
        <v>89670.1587897434</v>
      </c>
      <c r="L12" s="8">
        <f t="shared" si="11"/>
        <v>89214.9803187295</v>
      </c>
      <c r="M12" s="8">
        <f t="shared" si="11"/>
        <v>89670.1587897434</v>
      </c>
      <c r="N12" s="8">
        <f t="shared" si="11"/>
        <v>91035.6942027852</v>
      </c>
      <c r="O12" s="8">
        <f t="shared" si="11"/>
        <v>93311.5865578548</v>
      </c>
      <c r="P12" s="8">
        <f t="shared" si="11"/>
        <v>96497.8358549523</v>
      </c>
      <c r="Q12" s="8">
        <f t="shared" si="11"/>
        <v>100594.442094078</v>
      </c>
      <c r="R12" s="8">
        <f t="shared" si="11"/>
        <v>105601.405275231</v>
      </c>
    </row>
    <row r="13" spans="1:18">
      <c r="A13" s="8">
        <v>4.65420553362507e-8</v>
      </c>
      <c r="B13" s="8">
        <v>7291.77838538365</v>
      </c>
      <c r="C13" s="8">
        <v>82.9956657142862</v>
      </c>
      <c r="D13" s="8">
        <v>-166821.806663737</v>
      </c>
      <c r="E13" s="6" t="s">
        <v>16</v>
      </c>
      <c r="F13" s="8">
        <f t="shared" si="1"/>
        <v>9295.014205544</v>
      </c>
      <c r="G13" s="8">
        <f t="shared" ref="G13:R13" si="12">$B13*(1+(1/13)+(((G$1-2018)^2)/(((2012-2018)^2)+((2013-2018)^2)+((2014-2018)^2)+((2015-2018)^2)+((2016-2018)^2)+((2017-2018)^2)+((2018-2018)^2)+((2019-2018)^2)+((2020-2018)^2)+((2021-2018)^2)+((2022-2018)^2)+((2023-2018)^2)+((2024-2018)^2))))</f>
        <v>8854.30232510872</v>
      </c>
      <c r="H13" s="8">
        <f t="shared" si="12"/>
        <v>8493.71987747986</v>
      </c>
      <c r="I13" s="8">
        <f t="shared" si="12"/>
        <v>8213.26686265741</v>
      </c>
      <c r="J13" s="8">
        <f t="shared" si="12"/>
        <v>8012.94328064138</v>
      </c>
      <c r="K13" s="8">
        <f t="shared" si="12"/>
        <v>7892.74913143176</v>
      </c>
      <c r="L13" s="8">
        <f t="shared" si="12"/>
        <v>7852.68441502855</v>
      </c>
      <c r="M13" s="8">
        <f t="shared" si="12"/>
        <v>7892.74913143176</v>
      </c>
      <c r="N13" s="8">
        <f t="shared" si="12"/>
        <v>8012.94328064138</v>
      </c>
      <c r="O13" s="8">
        <f t="shared" si="12"/>
        <v>8213.26686265741</v>
      </c>
      <c r="P13" s="8">
        <f t="shared" si="12"/>
        <v>8493.71987747986</v>
      </c>
      <c r="Q13" s="8">
        <f t="shared" si="12"/>
        <v>8854.30232510872</v>
      </c>
      <c r="R13" s="8">
        <f t="shared" si="12"/>
        <v>9295.014205544</v>
      </c>
    </row>
    <row r="14" spans="1:18">
      <c r="A14" s="8">
        <v>6.0863821841393e-9</v>
      </c>
      <c r="B14" s="8">
        <v>3544.33189969541</v>
      </c>
      <c r="C14" s="8">
        <v>70.2486968131872</v>
      </c>
      <c r="D14" s="8">
        <v>-141203.312874396</v>
      </c>
      <c r="E14" s="6" t="s">
        <v>17</v>
      </c>
      <c r="F14" s="8">
        <f t="shared" si="1"/>
        <v>4518.04945455678</v>
      </c>
      <c r="G14" s="8">
        <f t="shared" ref="G14:R14" si="13">$B14*(1+(1/13)+(((G$1-2018)^2)/(((2012-2018)^2)+((2013-2018)^2)+((2014-2018)^2)+((2015-2018)^2)+((2016-2018)^2)+((2017-2018)^2)+((2018-2018)^2)+((2019-2018)^2)+((2020-2018)^2)+((2021-2018)^2)+((2022-2018)^2)+((2023-2018)^2)+((2024-2018)^2))))</f>
        <v>4303.83159248728</v>
      </c>
      <c r="H14" s="8">
        <f t="shared" si="13"/>
        <v>4128.56243261223</v>
      </c>
      <c r="I14" s="8">
        <f t="shared" si="13"/>
        <v>3992.24197493164</v>
      </c>
      <c r="J14" s="8">
        <f t="shared" si="13"/>
        <v>3894.8702194455</v>
      </c>
      <c r="K14" s="8">
        <f t="shared" si="13"/>
        <v>3836.44716615382</v>
      </c>
      <c r="L14" s="8">
        <f t="shared" si="13"/>
        <v>3816.97281505659</v>
      </c>
      <c r="M14" s="8">
        <f t="shared" si="13"/>
        <v>3836.44716615382</v>
      </c>
      <c r="N14" s="8">
        <f t="shared" si="13"/>
        <v>3894.8702194455</v>
      </c>
      <c r="O14" s="8">
        <f t="shared" si="13"/>
        <v>3992.24197493164</v>
      </c>
      <c r="P14" s="8">
        <f t="shared" si="13"/>
        <v>4128.56243261223</v>
      </c>
      <c r="Q14" s="8">
        <f t="shared" si="13"/>
        <v>4303.83159248728</v>
      </c>
      <c r="R14" s="8">
        <f t="shared" si="13"/>
        <v>4518.04945455678</v>
      </c>
    </row>
    <row r="15" spans="1:18">
      <c r="A15" s="8">
        <v>1.36892977742043e-10</v>
      </c>
      <c r="B15" s="8">
        <v>1256.72770501813</v>
      </c>
      <c r="C15" s="8">
        <v>59.6475381868135</v>
      </c>
      <c r="D15" s="8">
        <v>-119990.556682528</v>
      </c>
      <c r="E15" s="6" t="s">
        <v>18</v>
      </c>
      <c r="F15" s="8">
        <f t="shared" si="1"/>
        <v>1601.9825690341</v>
      </c>
      <c r="G15" s="8">
        <f t="shared" ref="G15:R15" si="14">$B15*(1+(1/13)+(((G$1-2018)^2)/(((2012-2018)^2)+((2013-2018)^2)+((2014-2018)^2)+((2015-2018)^2)+((2016-2018)^2)+((2017-2018)^2)+((2018-2018)^2)+((2019-2018)^2)+((2020-2018)^2)+((2021-2018)^2)+((2022-2018)^2)+((2023-2018)^2)+((2024-2018)^2))))</f>
        <v>1526.02649895059</v>
      </c>
      <c r="H15" s="8">
        <f t="shared" si="14"/>
        <v>1463.88062342771</v>
      </c>
      <c r="I15" s="8">
        <f t="shared" si="14"/>
        <v>1415.54494246548</v>
      </c>
      <c r="J15" s="8">
        <f t="shared" si="14"/>
        <v>1381.01945606388</v>
      </c>
      <c r="K15" s="8">
        <f t="shared" si="14"/>
        <v>1360.30416422292</v>
      </c>
      <c r="L15" s="8">
        <f t="shared" si="14"/>
        <v>1353.3990669426</v>
      </c>
      <c r="M15" s="8">
        <f t="shared" si="14"/>
        <v>1360.30416422292</v>
      </c>
      <c r="N15" s="8">
        <f t="shared" si="14"/>
        <v>1381.01945606388</v>
      </c>
      <c r="O15" s="8">
        <f t="shared" si="14"/>
        <v>1415.54494246548</v>
      </c>
      <c r="P15" s="8">
        <f t="shared" si="14"/>
        <v>1463.88062342771</v>
      </c>
      <c r="Q15" s="8">
        <f t="shared" si="14"/>
        <v>1526.02649895059</v>
      </c>
      <c r="R15" s="8">
        <f t="shared" si="14"/>
        <v>1601.9825690341</v>
      </c>
    </row>
    <row r="16" spans="1:18">
      <c r="A16" s="8">
        <v>0.000153708361334594</v>
      </c>
      <c r="B16" s="8">
        <v>97236.9210548138</v>
      </c>
      <c r="C16" s="8">
        <v>130.092440989012</v>
      </c>
      <c r="D16" s="8">
        <v>-261050.079664288</v>
      </c>
      <c r="E16" s="6" t="s">
        <v>19</v>
      </c>
      <c r="F16" s="8">
        <f t="shared" si="1"/>
        <v>123950.360905037</v>
      </c>
      <c r="G16" s="8">
        <f t="shared" ref="G16:R16" si="15">$B16*(1+(1/13)+(((G$1-2018)^2)/(((2012-2018)^2)+((2013-2018)^2)+((2014-2018)^2)+((2015-2018)^2)+((2016-2018)^2)+((2017-2018)^2)+((2018-2018)^2)+((2019-2018)^2)+((2020-2018)^2)+((2021-2018)^2)+((2022-2018)^2)+((2023-2018)^2)+((2024-2018)^2))))</f>
        <v>118073.404137988</v>
      </c>
      <c r="H16" s="8">
        <f t="shared" si="15"/>
        <v>113264.984964948</v>
      </c>
      <c r="I16" s="8">
        <f t="shared" si="15"/>
        <v>109525.103385917</v>
      </c>
      <c r="J16" s="8">
        <f t="shared" si="15"/>
        <v>106853.759400894</v>
      </c>
      <c r="K16" s="8">
        <f t="shared" si="15"/>
        <v>105250.953009881</v>
      </c>
      <c r="L16" s="8">
        <f t="shared" si="15"/>
        <v>104716.684212876</v>
      </c>
      <c r="M16" s="8">
        <f t="shared" si="15"/>
        <v>105250.953009881</v>
      </c>
      <c r="N16" s="8">
        <f t="shared" si="15"/>
        <v>106853.759400894</v>
      </c>
      <c r="O16" s="8">
        <f t="shared" si="15"/>
        <v>109525.103385917</v>
      </c>
      <c r="P16" s="8">
        <f t="shared" si="15"/>
        <v>113264.984964948</v>
      </c>
      <c r="Q16" s="8">
        <f t="shared" si="15"/>
        <v>118073.404137988</v>
      </c>
      <c r="R16" s="8">
        <f t="shared" si="15"/>
        <v>123950.360905037</v>
      </c>
    </row>
    <row r="17" spans="1:18">
      <c r="A17" s="8">
        <v>8.82436503156739e-10</v>
      </c>
      <c r="B17" s="8">
        <v>873.864057329342</v>
      </c>
      <c r="C17" s="8">
        <v>41.8206950549452</v>
      </c>
      <c r="D17" s="8">
        <v>-83938.4981901103</v>
      </c>
      <c r="E17" s="6" t="s">
        <v>20</v>
      </c>
      <c r="F17" s="8">
        <f t="shared" si="1"/>
        <v>1113.93660055169</v>
      </c>
      <c r="G17" s="8">
        <f t="shared" ref="G17:R17" si="16">$B17*(1+(1/13)+(((G$1-2018)^2)/(((2012-2018)^2)+((2013-2018)^2)+((2014-2018)^2)+((2015-2018)^2)+((2016-2018)^2)+((2017-2018)^2)+((2018-2018)^2)+((2019-2018)^2)+((2020-2018)^2)+((2021-2018)^2)+((2022-2018)^2)+((2023-2018)^2)+((2024-2018)^2))))</f>
        <v>1061.12064104277</v>
      </c>
      <c r="H17" s="8">
        <f t="shared" si="16"/>
        <v>1017.90758326275</v>
      </c>
      <c r="I17" s="8">
        <f t="shared" si="16"/>
        <v>984.297427211622</v>
      </c>
      <c r="J17" s="8">
        <f t="shared" si="16"/>
        <v>960.290172889387</v>
      </c>
      <c r="K17" s="8">
        <f t="shared" si="16"/>
        <v>945.885820296046</v>
      </c>
      <c r="L17" s="8">
        <f t="shared" si="16"/>
        <v>941.0843694316</v>
      </c>
      <c r="M17" s="8">
        <f t="shared" si="16"/>
        <v>945.885820296046</v>
      </c>
      <c r="N17" s="8">
        <f t="shared" si="16"/>
        <v>960.290172889387</v>
      </c>
      <c r="O17" s="8">
        <f t="shared" si="16"/>
        <v>984.297427211622</v>
      </c>
      <c r="P17" s="8">
        <f t="shared" si="16"/>
        <v>1017.90758326275</v>
      </c>
      <c r="Q17" s="8">
        <f t="shared" si="16"/>
        <v>1061.12064104277</v>
      </c>
      <c r="R17" s="8">
        <f t="shared" si="16"/>
        <v>1113.93660055169</v>
      </c>
    </row>
    <row r="18" spans="1:18">
      <c r="A18" s="8">
        <v>4.78934405076596e-8</v>
      </c>
      <c r="B18" s="8">
        <v>6929.68574234611</v>
      </c>
      <c r="C18" s="8">
        <v>80.6861083516488</v>
      </c>
      <c r="D18" s="8">
        <v>-162168.957265935</v>
      </c>
      <c r="E18" s="6" t="s">
        <v>21</v>
      </c>
      <c r="F18" s="8">
        <f t="shared" si="1"/>
        <v>8833.44556167196</v>
      </c>
      <c r="G18" s="8">
        <f t="shared" ref="G18:R18" si="17">$B18*(1+(1/13)+(((G$1-2018)^2)/(((2012-2018)^2)+((2013-2018)^2)+((2014-2018)^2)+((2015-2018)^2)+((2016-2018)^2)+((2017-2018)^2)+((2018-2018)^2)+((2019-2018)^2)+((2020-2018)^2)+((2021-2018)^2)+((2022-2018)^2)+((2023-2018)^2)+((2024-2018)^2))))</f>
        <v>8414.61840142028</v>
      </c>
      <c r="H18" s="8">
        <f t="shared" si="17"/>
        <v>8071.94163394162</v>
      </c>
      <c r="I18" s="8">
        <f t="shared" si="17"/>
        <v>7805.415259236</v>
      </c>
      <c r="J18" s="8">
        <f t="shared" si="17"/>
        <v>7615.03927730342</v>
      </c>
      <c r="K18" s="8">
        <f t="shared" si="17"/>
        <v>7500.81368814387</v>
      </c>
      <c r="L18" s="8">
        <f t="shared" si="17"/>
        <v>7462.73849175735</v>
      </c>
      <c r="M18" s="8">
        <f t="shared" si="17"/>
        <v>7500.81368814387</v>
      </c>
      <c r="N18" s="8">
        <f t="shared" si="17"/>
        <v>7615.03927730342</v>
      </c>
      <c r="O18" s="8">
        <f t="shared" si="17"/>
        <v>7805.415259236</v>
      </c>
      <c r="P18" s="8">
        <f t="shared" si="17"/>
        <v>8071.94163394162</v>
      </c>
      <c r="Q18" s="8">
        <f t="shared" si="17"/>
        <v>8414.61840142028</v>
      </c>
      <c r="R18" s="8">
        <f t="shared" si="17"/>
        <v>8833.44556167196</v>
      </c>
    </row>
    <row r="19" spans="1:18">
      <c r="A19" s="8">
        <v>1.78015468848309e-8</v>
      </c>
      <c r="B19" s="8">
        <v>6647.76974342241</v>
      </c>
      <c r="C19" s="8">
        <v>86.8879463186818</v>
      </c>
      <c r="D19" s="8">
        <v>-174699.358339561</v>
      </c>
      <c r="E19" s="6" t="s">
        <v>22</v>
      </c>
      <c r="F19" s="8">
        <f t="shared" si="1"/>
        <v>8474.0801124945</v>
      </c>
      <c r="G19" s="8">
        <f t="shared" ref="G19:R19" si="18">$B19*(1+(1/13)+(((G$1-2018)^2)/(((2012-2018)^2)+((2013-2018)^2)+((2014-2018)^2)+((2015-2018)^2)+((2016-2018)^2)+((2017-2018)^2)+((2018-2018)^2)+((2019-2018)^2)+((2020-2018)^2)+((2021-2018)^2)+((2022-2018)^2)+((2023-2018)^2)+((2024-2018)^2))))</f>
        <v>8072.29183129864</v>
      </c>
      <c r="H19" s="8">
        <f t="shared" si="18"/>
        <v>7743.55596486566</v>
      </c>
      <c r="I19" s="8">
        <f t="shared" si="18"/>
        <v>7487.87251319557</v>
      </c>
      <c r="J19" s="8">
        <f t="shared" si="18"/>
        <v>7305.24147628836</v>
      </c>
      <c r="K19" s="8">
        <f t="shared" si="18"/>
        <v>7195.66285414404</v>
      </c>
      <c r="L19" s="8">
        <f t="shared" si="18"/>
        <v>7159.1366467626</v>
      </c>
      <c r="M19" s="8">
        <f t="shared" si="18"/>
        <v>7195.66285414404</v>
      </c>
      <c r="N19" s="8">
        <f t="shared" si="18"/>
        <v>7305.24147628836</v>
      </c>
      <c r="O19" s="8">
        <f t="shared" si="18"/>
        <v>7487.87251319557</v>
      </c>
      <c r="P19" s="8">
        <f t="shared" si="18"/>
        <v>7743.55596486566</v>
      </c>
      <c r="Q19" s="8">
        <f t="shared" si="18"/>
        <v>8072.29183129864</v>
      </c>
      <c r="R19" s="8">
        <f t="shared" si="18"/>
        <v>8474.0801124945</v>
      </c>
    </row>
    <row r="20" spans="1:18">
      <c r="A20" s="8">
        <v>1.17344677011379e-11</v>
      </c>
      <c r="B20" s="8">
        <v>42953.0837826909</v>
      </c>
      <c r="C20" s="8">
        <v>437.518060714288</v>
      </c>
      <c r="D20" s="8">
        <v>-879497.858273741</v>
      </c>
      <c r="E20" s="6" t="s">
        <v>23</v>
      </c>
      <c r="F20" s="8">
        <f t="shared" si="1"/>
        <v>54753.3815251885</v>
      </c>
      <c r="G20" s="8">
        <f t="shared" ref="G20:R20" si="19">$B20*(1+(1/13)+(((G$1-2018)^2)/(((2012-2018)^2)+((2013-2018)^2)+((2014-2018)^2)+((2015-2018)^2)+((2016-2018)^2)+((2017-2018)^2)+((2018-2018)^2)+((2019-2018)^2)+((2020-2018)^2)+((2021-2018)^2)+((2022-2018)^2)+((2023-2018)^2)+((2024-2018)^2))))</f>
        <v>52157.316021839</v>
      </c>
      <c r="H20" s="8">
        <f t="shared" si="19"/>
        <v>50033.2624281895</v>
      </c>
      <c r="I20" s="8">
        <f t="shared" si="19"/>
        <v>48381.2207442398</v>
      </c>
      <c r="J20" s="8">
        <f t="shared" si="19"/>
        <v>47201.19096999</v>
      </c>
      <c r="K20" s="8">
        <f t="shared" si="19"/>
        <v>46493.1731054402</v>
      </c>
      <c r="L20" s="8">
        <f t="shared" si="19"/>
        <v>46257.1671505902</v>
      </c>
      <c r="M20" s="8">
        <f t="shared" si="19"/>
        <v>46493.1731054402</v>
      </c>
      <c r="N20" s="8">
        <f t="shared" si="19"/>
        <v>47201.19096999</v>
      </c>
      <c r="O20" s="8">
        <f t="shared" si="19"/>
        <v>48381.2207442398</v>
      </c>
      <c r="P20" s="8">
        <f t="shared" si="19"/>
        <v>50033.2624281895</v>
      </c>
      <c r="Q20" s="8">
        <f t="shared" si="19"/>
        <v>52157.316021839</v>
      </c>
      <c r="R20" s="8">
        <f t="shared" si="19"/>
        <v>54753.3815251885</v>
      </c>
    </row>
    <row r="21" spans="1:18">
      <c r="A21" s="8">
        <v>6.40144916315135e-7</v>
      </c>
      <c r="B21" s="8">
        <v>530.591637746998</v>
      </c>
      <c r="C21" s="8">
        <v>17.3218862087913</v>
      </c>
      <c r="D21" s="8">
        <v>-34806.2664870332</v>
      </c>
      <c r="E21" s="6" t="s">
        <v>24</v>
      </c>
      <c r="F21" s="8">
        <f t="shared" si="1"/>
        <v>676.358571193975</v>
      </c>
      <c r="G21" s="8">
        <f t="shared" ref="G21:R21" si="20">$B21*(1+(1/13)+(((G$1-2018)^2)/(((2012-2018)^2)+((2013-2018)^2)+((2014-2018)^2)+((2015-2018)^2)+((2016-2018)^2)+((2017-2018)^2)+((2018-2018)^2)+((2019-2018)^2)+((2020-2018)^2)+((2021-2018)^2)+((2022-2018)^2)+((2023-2018)^2)+((2024-2018)^2))))</f>
        <v>644.28984583564</v>
      </c>
      <c r="H21" s="8">
        <f t="shared" si="20"/>
        <v>618.051797815184</v>
      </c>
      <c r="I21" s="8">
        <f t="shared" si="20"/>
        <v>597.644427132608</v>
      </c>
      <c r="J21" s="8">
        <f t="shared" si="20"/>
        <v>583.06773378791</v>
      </c>
      <c r="K21" s="8">
        <f t="shared" si="20"/>
        <v>574.321717781091</v>
      </c>
      <c r="L21" s="8">
        <f t="shared" si="20"/>
        <v>571.406379112152</v>
      </c>
      <c r="M21" s="8">
        <f t="shared" si="20"/>
        <v>574.321717781091</v>
      </c>
      <c r="N21" s="8">
        <f t="shared" si="20"/>
        <v>583.06773378791</v>
      </c>
      <c r="O21" s="8">
        <f t="shared" si="20"/>
        <v>597.644427132608</v>
      </c>
      <c r="P21" s="8">
        <f t="shared" si="20"/>
        <v>618.051797815184</v>
      </c>
      <c r="Q21" s="8">
        <f t="shared" si="20"/>
        <v>644.28984583564</v>
      </c>
      <c r="R21" s="8">
        <f t="shared" si="20"/>
        <v>676.358571193975</v>
      </c>
    </row>
    <row r="22" spans="1:18">
      <c r="A22" s="8">
        <v>7.71025931154639e-5</v>
      </c>
      <c r="B22" s="8">
        <v>53.3370391403718</v>
      </c>
      <c r="C22" s="8">
        <v>3.30357406593409</v>
      </c>
      <c r="D22" s="8">
        <v>-6644.71860582422</v>
      </c>
      <c r="E22" s="6" t="s">
        <v>25</v>
      </c>
      <c r="F22" s="8">
        <f t="shared" si="1"/>
        <v>67.9900718712431</v>
      </c>
      <c r="G22" s="8">
        <f t="shared" ref="G22:R22" si="21">$B22*(1+(1/13)+(((G$1-2018)^2)/(((2012-2018)^2)+((2013-2018)^2)+((2014-2018)^2)+((2015-2018)^2)+((2016-2018)^2)+((2017-2018)^2)+((2018-2018)^2)+((2019-2018)^2)+((2020-2018)^2)+((2021-2018)^2)+((2022-2018)^2)+((2023-2018)^2)+((2024-2018)^2))))</f>
        <v>64.7664046704514</v>
      </c>
      <c r="H22" s="8">
        <f t="shared" si="21"/>
        <v>62.1288587788946</v>
      </c>
      <c r="I22" s="8">
        <f t="shared" si="21"/>
        <v>60.0774341965726</v>
      </c>
      <c r="J22" s="8">
        <f t="shared" si="21"/>
        <v>58.6121309234854</v>
      </c>
      <c r="K22" s="8">
        <f t="shared" si="21"/>
        <v>57.7329489596332</v>
      </c>
      <c r="L22" s="8">
        <f t="shared" si="21"/>
        <v>57.4398883050157</v>
      </c>
      <c r="M22" s="8">
        <f t="shared" si="21"/>
        <v>57.7329489596332</v>
      </c>
      <c r="N22" s="8">
        <f t="shared" si="21"/>
        <v>58.6121309234854</v>
      </c>
      <c r="O22" s="8">
        <f t="shared" si="21"/>
        <v>60.0774341965726</v>
      </c>
      <c r="P22" s="8">
        <f t="shared" si="21"/>
        <v>62.1288587788946</v>
      </c>
      <c r="Q22" s="8">
        <f t="shared" si="21"/>
        <v>64.7664046704514</v>
      </c>
      <c r="R22" s="8">
        <f t="shared" si="21"/>
        <v>67.9900718712431</v>
      </c>
    </row>
    <row r="23" spans="1:18">
      <c r="A23" s="8">
        <v>1.25489500616416e-9</v>
      </c>
      <c r="B23" s="8">
        <v>799.142281058934</v>
      </c>
      <c r="C23" s="8">
        <v>38.6971914285716</v>
      </c>
      <c r="D23" s="8">
        <v>-77743.1832159344</v>
      </c>
      <c r="E23" s="6" t="s">
        <v>26</v>
      </c>
      <c r="F23" s="8">
        <f t="shared" si="1"/>
        <v>1018.68686376743</v>
      </c>
      <c r="G23" s="8">
        <f t="shared" ref="G23:R23" si="22">$B23*(1+(1/13)+(((G$1-2018)^2)/(((2012-2018)^2)+((2013-2018)^2)+((2014-2018)^2)+((2015-2018)^2)+((2016-2018)^2)+((2017-2018)^2)+((2018-2018)^2)+((2019-2018)^2)+((2020-2018)^2)+((2021-2018)^2)+((2022-2018)^2)+((2023-2018)^2)+((2024-2018)^2))))</f>
        <v>970.387055571563</v>
      </c>
      <c r="H23" s="8">
        <f t="shared" si="22"/>
        <v>930.869030684033</v>
      </c>
      <c r="I23" s="8">
        <f t="shared" si="22"/>
        <v>900.132789104843</v>
      </c>
      <c r="J23" s="8">
        <f t="shared" si="22"/>
        <v>878.178330833993</v>
      </c>
      <c r="K23" s="8">
        <f t="shared" si="22"/>
        <v>865.005655871483</v>
      </c>
      <c r="L23" s="8">
        <f t="shared" si="22"/>
        <v>860.614764217313</v>
      </c>
      <c r="M23" s="8">
        <f t="shared" si="22"/>
        <v>865.005655871483</v>
      </c>
      <c r="N23" s="8">
        <f t="shared" si="22"/>
        <v>878.178330833993</v>
      </c>
      <c r="O23" s="8">
        <f t="shared" si="22"/>
        <v>900.132789104843</v>
      </c>
      <c r="P23" s="8">
        <f t="shared" si="22"/>
        <v>930.869030684033</v>
      </c>
      <c r="Q23" s="8">
        <f t="shared" si="22"/>
        <v>970.387055571563</v>
      </c>
      <c r="R23" s="8">
        <f t="shared" si="22"/>
        <v>1018.68686376743</v>
      </c>
    </row>
    <row r="24" spans="1:18">
      <c r="A24" s="8">
        <v>2.61757796803759e-8</v>
      </c>
      <c r="B24" s="8">
        <v>2045.84700695685</v>
      </c>
      <c r="C24" s="8">
        <v>46.4582609340662</v>
      </c>
      <c r="D24" s="8">
        <v>-93351.6375334071</v>
      </c>
      <c r="E24" s="6" t="s">
        <v>27</v>
      </c>
      <c r="F24" s="8">
        <f t="shared" si="1"/>
        <v>2607.89288798895</v>
      </c>
      <c r="G24" s="8">
        <f t="shared" ref="G24:R24" si="23">$B24*(1+(1/13)+(((G$1-2018)^2)/(((2012-2018)^2)+((2013-2018)^2)+((2014-2018)^2)+((2015-2018)^2)+((2016-2018)^2)+((2017-2018)^2)+((2018-2018)^2)+((2019-2018)^2)+((2020-2018)^2)+((2021-2018)^2)+((2022-2018)^2)+((2023-2018)^2)+((2024-2018)^2))))</f>
        <v>2484.24279416189</v>
      </c>
      <c r="H24" s="8">
        <f t="shared" si="23"/>
        <v>2383.07453557611</v>
      </c>
      <c r="I24" s="8">
        <f t="shared" si="23"/>
        <v>2304.38811223162</v>
      </c>
      <c r="J24" s="8">
        <f t="shared" si="23"/>
        <v>2248.18352412841</v>
      </c>
      <c r="K24" s="8">
        <f t="shared" si="23"/>
        <v>2214.46077126648</v>
      </c>
      <c r="L24" s="8">
        <f t="shared" si="23"/>
        <v>2203.21985364584</v>
      </c>
      <c r="M24" s="8">
        <f t="shared" si="23"/>
        <v>2214.46077126648</v>
      </c>
      <c r="N24" s="8">
        <f t="shared" si="23"/>
        <v>2248.18352412841</v>
      </c>
      <c r="O24" s="8">
        <f t="shared" si="23"/>
        <v>2304.38811223162</v>
      </c>
      <c r="P24" s="8">
        <f t="shared" si="23"/>
        <v>2383.07453557611</v>
      </c>
      <c r="Q24" s="8">
        <f t="shared" si="23"/>
        <v>2484.24279416189</v>
      </c>
      <c r="R24" s="8">
        <f t="shared" si="23"/>
        <v>2607.89288798895</v>
      </c>
    </row>
    <row r="25" spans="1:18">
      <c r="A25" s="8">
        <v>4.88283736545233e-6</v>
      </c>
      <c r="B25" s="8">
        <v>130.970610037794</v>
      </c>
      <c r="C25" s="8">
        <v>6.996491978022</v>
      </c>
      <c r="D25" s="8">
        <v>-14045.8630924176</v>
      </c>
      <c r="E25" s="6" t="s">
        <v>28</v>
      </c>
      <c r="F25" s="8">
        <f t="shared" si="1"/>
        <v>166.951546861364</v>
      </c>
      <c r="G25" s="8">
        <f t="shared" ref="G25:R25" si="24">$B25*(1+(1/13)+(((G$1-2018)^2)/(((2012-2018)^2)+((2013-2018)^2)+((2014-2018)^2)+((2015-2018)^2)+((2016-2018)^2)+((2017-2018)^2)+((2018-2018)^2)+((2019-2018)^2)+((2020-2018)^2)+((2021-2018)^2)+((2022-2018)^2)+((2023-2018)^2)+((2024-2018)^2))))</f>
        <v>159.035740760178</v>
      </c>
      <c r="H25" s="8">
        <f t="shared" si="24"/>
        <v>152.559172131936</v>
      </c>
      <c r="I25" s="8">
        <f t="shared" si="24"/>
        <v>147.521840976636</v>
      </c>
      <c r="J25" s="8">
        <f t="shared" si="24"/>
        <v>143.923747294279</v>
      </c>
      <c r="K25" s="8">
        <f t="shared" si="24"/>
        <v>141.764891084865</v>
      </c>
      <c r="L25" s="8">
        <f t="shared" si="24"/>
        <v>141.045272348393</v>
      </c>
      <c r="M25" s="8">
        <f t="shared" si="24"/>
        <v>141.764891084865</v>
      </c>
      <c r="N25" s="8">
        <f t="shared" si="24"/>
        <v>143.923747294279</v>
      </c>
      <c r="O25" s="8">
        <f t="shared" si="24"/>
        <v>147.521840976636</v>
      </c>
      <c r="P25" s="8">
        <f t="shared" si="24"/>
        <v>152.559172131936</v>
      </c>
      <c r="Q25" s="8">
        <f t="shared" si="24"/>
        <v>159.035740760178</v>
      </c>
      <c r="R25" s="8">
        <f t="shared" si="24"/>
        <v>166.951546861364</v>
      </c>
    </row>
    <row r="26" spans="1:18">
      <c r="A26" s="8">
        <v>2.94225263592455e-9</v>
      </c>
      <c r="B26" s="8">
        <v>98.7798030650472</v>
      </c>
      <c r="C26" s="8">
        <v>12.559573956044</v>
      </c>
      <c r="D26" s="8">
        <v>-25236.5649686815</v>
      </c>
      <c r="E26" s="6" t="s">
        <v>29</v>
      </c>
      <c r="F26" s="8">
        <f t="shared" si="1"/>
        <v>125.917111599401</v>
      </c>
      <c r="G26" s="8">
        <f t="shared" ref="G26:R26" si="25">$B26*(1+(1/13)+(((G$1-2018)^2)/(((2012-2018)^2)+((2013-2018)^2)+((2014-2018)^2)+((2015-2018)^2)+((2016-2018)^2)+((2017-2018)^2)+((2018-2018)^2)+((2019-2018)^2)+((2020-2018)^2)+((2021-2018)^2)+((2022-2018)^2)+((2023-2018)^2)+((2024-2018)^2))))</f>
        <v>119.946903721843</v>
      </c>
      <c r="H26" s="8">
        <f t="shared" si="25"/>
        <v>115.062188185659</v>
      </c>
      <c r="I26" s="8">
        <f t="shared" si="25"/>
        <v>111.26296499085</v>
      </c>
      <c r="J26" s="8">
        <f t="shared" si="25"/>
        <v>108.549234137414</v>
      </c>
      <c r="K26" s="8">
        <f t="shared" si="25"/>
        <v>106.920995625353</v>
      </c>
      <c r="L26" s="8">
        <f t="shared" si="25"/>
        <v>106.378249454666</v>
      </c>
      <c r="M26" s="8">
        <f t="shared" si="25"/>
        <v>106.920995625353</v>
      </c>
      <c r="N26" s="8">
        <f t="shared" si="25"/>
        <v>108.549234137414</v>
      </c>
      <c r="O26" s="8">
        <f t="shared" si="25"/>
        <v>111.26296499085</v>
      </c>
      <c r="P26" s="8">
        <f t="shared" si="25"/>
        <v>115.062188185659</v>
      </c>
      <c r="Q26" s="8">
        <f t="shared" si="25"/>
        <v>119.946903721843</v>
      </c>
      <c r="R26" s="8">
        <f t="shared" si="25"/>
        <v>125.917111599401</v>
      </c>
    </row>
    <row r="27" spans="1:18">
      <c r="A27" s="8">
        <v>0.000107717847527372</v>
      </c>
      <c r="B27" s="8">
        <v>0.10456819465555</v>
      </c>
      <c r="C27" s="8">
        <v>0.140701208791209</v>
      </c>
      <c r="D27" s="8">
        <v>-283.170986263737</v>
      </c>
      <c r="E27" s="6" t="s">
        <v>30</v>
      </c>
      <c r="F27" s="8">
        <f t="shared" si="1"/>
        <v>0.133295720659822</v>
      </c>
      <c r="G27" s="8">
        <f t="shared" ref="G27:R27" si="26">$B27*(1+(1/13)+(((G$1-2018)^2)/(((2012-2018)^2)+((2013-2018)^2)+((2014-2018)^2)+((2015-2018)^2)+((2016-2018)^2)+((2017-2018)^2)+((2018-2018)^2)+((2019-2018)^2)+((2020-2018)^2)+((2021-2018)^2)+((2022-2018)^2)+((2023-2018)^2)+((2024-2018)^2))))</f>
        <v>0.126975664938882</v>
      </c>
      <c r="H27" s="8">
        <f t="shared" si="26"/>
        <v>0.121804710258113</v>
      </c>
      <c r="I27" s="8">
        <f t="shared" si="26"/>
        <v>0.117782856617515</v>
      </c>
      <c r="J27" s="8">
        <f t="shared" si="26"/>
        <v>0.114910104017088</v>
      </c>
      <c r="K27" s="8">
        <f t="shared" si="26"/>
        <v>0.113186452456832</v>
      </c>
      <c r="L27" s="8">
        <f t="shared" si="26"/>
        <v>0.112611901936746</v>
      </c>
      <c r="M27" s="8">
        <f t="shared" si="26"/>
        <v>0.113186452456832</v>
      </c>
      <c r="N27" s="8">
        <f t="shared" si="26"/>
        <v>0.114910104017088</v>
      </c>
      <c r="O27" s="8">
        <f t="shared" si="26"/>
        <v>0.117782856617515</v>
      </c>
      <c r="P27" s="8">
        <f t="shared" si="26"/>
        <v>0.121804710258113</v>
      </c>
      <c r="Q27" s="8">
        <f t="shared" si="26"/>
        <v>0.126975664938882</v>
      </c>
      <c r="R27" s="8">
        <f t="shared" si="26"/>
        <v>0.133295720659822</v>
      </c>
    </row>
    <row r="28" spans="1:18">
      <c r="A28" s="8">
        <v>4.29298961560472e-7</v>
      </c>
      <c r="B28" s="8">
        <v>1034.26884208716</v>
      </c>
      <c r="C28" s="8">
        <v>25.1647132417584</v>
      </c>
      <c r="D28" s="8">
        <v>-50521.4402326377</v>
      </c>
      <c r="E28" s="6" t="s">
        <v>31</v>
      </c>
      <c r="F28" s="8">
        <f t="shared" si="1"/>
        <v>1318.40863386935</v>
      </c>
      <c r="G28" s="8">
        <f t="shared" ref="G28:R28" si="27">$B28*(1+(1/13)+(((G$1-2018)^2)/(((2012-2018)^2)+((2013-2018)^2)+((2014-2018)^2)+((2015-2018)^2)+((2016-2018)^2)+((2017-2018)^2)+((2018-2018)^2)+((2019-2018)^2)+((2020-2018)^2)+((2021-2018)^2)+((2022-2018)^2)+((2023-2018)^2)+((2024-2018)^2))))</f>
        <v>1255.89787967727</v>
      </c>
      <c r="H28" s="8">
        <f t="shared" si="27"/>
        <v>1204.75271715648</v>
      </c>
      <c r="I28" s="8">
        <f t="shared" si="27"/>
        <v>1164.97314630697</v>
      </c>
      <c r="J28" s="8">
        <f t="shared" si="27"/>
        <v>1136.55916712875</v>
      </c>
      <c r="K28" s="8">
        <f t="shared" si="27"/>
        <v>1119.51077962182</v>
      </c>
      <c r="L28" s="8">
        <f t="shared" si="27"/>
        <v>1113.82798378618</v>
      </c>
      <c r="M28" s="8">
        <f t="shared" si="27"/>
        <v>1119.51077962182</v>
      </c>
      <c r="N28" s="8">
        <f t="shared" si="27"/>
        <v>1136.55916712875</v>
      </c>
      <c r="O28" s="8">
        <f t="shared" si="27"/>
        <v>1164.97314630697</v>
      </c>
      <c r="P28" s="8">
        <f t="shared" si="27"/>
        <v>1204.75271715648</v>
      </c>
      <c r="Q28" s="8">
        <f t="shared" si="27"/>
        <v>1255.89787967727</v>
      </c>
      <c r="R28" s="8">
        <f t="shared" si="27"/>
        <v>1318.40863386935</v>
      </c>
    </row>
    <row r="29" spans="1:18">
      <c r="A29" s="8">
        <v>0.000577489501886112</v>
      </c>
      <c r="B29" s="8">
        <v>72.6132457448586</v>
      </c>
      <c r="C29" s="8">
        <v>3.01510384615386</v>
      </c>
      <c r="D29" s="8">
        <v>-6034.94813307695</v>
      </c>
      <c r="E29" s="6" t="s">
        <v>32</v>
      </c>
      <c r="F29" s="8">
        <f t="shared" si="1"/>
        <v>92.5619396308087</v>
      </c>
      <c r="G29" s="8">
        <f t="shared" ref="G29:R29" si="28">$B29*(1+(1/13)+(((G$1-2018)^2)/(((2012-2018)^2)+((2013-2018)^2)+((2014-2018)^2)+((2015-2018)^2)+((2016-2018)^2)+((2017-2018)^2)+((2018-2018)^2)+((2019-2018)^2)+((2020-2018)^2)+((2021-2018)^2)+((2022-2018)^2)+((2023-2018)^2)+((2024-2018)^2))))</f>
        <v>88.1732269758997</v>
      </c>
      <c r="H29" s="8">
        <f t="shared" si="28"/>
        <v>84.5824620764286</v>
      </c>
      <c r="I29" s="8">
        <f t="shared" si="28"/>
        <v>81.7896449323956</v>
      </c>
      <c r="J29" s="8">
        <f t="shared" si="28"/>
        <v>79.7947755438006</v>
      </c>
      <c r="K29" s="8">
        <f t="shared" si="28"/>
        <v>78.5978539106436</v>
      </c>
      <c r="L29" s="8">
        <f t="shared" si="28"/>
        <v>78.1988800329246</v>
      </c>
      <c r="M29" s="8">
        <f t="shared" si="28"/>
        <v>78.5978539106436</v>
      </c>
      <c r="N29" s="8">
        <f t="shared" si="28"/>
        <v>79.7947755438006</v>
      </c>
      <c r="O29" s="8">
        <f t="shared" si="28"/>
        <v>81.7896449323956</v>
      </c>
      <c r="P29" s="8">
        <f t="shared" si="28"/>
        <v>84.5824620764286</v>
      </c>
      <c r="Q29" s="8">
        <f t="shared" si="28"/>
        <v>88.1732269758997</v>
      </c>
      <c r="R29" s="8">
        <f t="shared" si="28"/>
        <v>92.5619396308087</v>
      </c>
    </row>
    <row r="30" spans="1:18">
      <c r="A30" s="8">
        <v>0.000231619186278323</v>
      </c>
      <c r="B30" s="8">
        <v>9.6088547625313</v>
      </c>
      <c r="C30" s="8">
        <v>1.23070648351649</v>
      </c>
      <c r="D30" s="8">
        <v>-2471.1144645055</v>
      </c>
      <c r="E30" s="6" t="s">
        <v>33</v>
      </c>
      <c r="F30" s="8">
        <f t="shared" si="1"/>
        <v>12.248650026963</v>
      </c>
      <c r="G30" s="8">
        <f t="shared" ref="G30:R30" si="29">$B30*(1+(1/13)+(((G$1-2018)^2)/(((2012-2018)^2)+((2013-2018)^2)+((2014-2018)^2)+((2015-2018)^2)+((2016-2018)^2)+((2017-2018)^2)+((2018-2018)^2)+((2019-2018)^2)+((2020-2018)^2)+((2021-2018)^2)+((2022-2018)^2)+((2023-2018)^2)+((2024-2018)^2))))</f>
        <v>11.667895068788</v>
      </c>
      <c r="H30" s="8">
        <f t="shared" si="29"/>
        <v>11.1927319211903</v>
      </c>
      <c r="I30" s="8">
        <f t="shared" si="29"/>
        <v>10.8231605841699</v>
      </c>
      <c r="J30" s="8">
        <f t="shared" si="29"/>
        <v>10.5591810577267</v>
      </c>
      <c r="K30" s="8">
        <f t="shared" si="29"/>
        <v>10.4007933418608</v>
      </c>
      <c r="L30" s="8">
        <f t="shared" si="29"/>
        <v>10.3479974365722</v>
      </c>
      <c r="M30" s="8">
        <f t="shared" si="29"/>
        <v>10.4007933418608</v>
      </c>
      <c r="N30" s="8">
        <f t="shared" si="29"/>
        <v>10.5591810577267</v>
      </c>
      <c r="O30" s="8">
        <f t="shared" si="29"/>
        <v>10.8231605841699</v>
      </c>
      <c r="P30" s="8">
        <f t="shared" si="29"/>
        <v>11.1927319211903</v>
      </c>
      <c r="Q30" s="8">
        <f t="shared" si="29"/>
        <v>11.667895068788</v>
      </c>
      <c r="R30" s="8">
        <f t="shared" si="29"/>
        <v>12.248650026963</v>
      </c>
    </row>
    <row r="31" spans="1:18">
      <c r="A31" s="8">
        <v>1.28099385362631e-5</v>
      </c>
      <c r="B31" s="8">
        <v>144.101775326076</v>
      </c>
      <c r="C31" s="8">
        <v>6.62703554945059</v>
      </c>
      <c r="D31" s="8">
        <v>-13334.4452341759</v>
      </c>
      <c r="E31" s="6" t="s">
        <v>34</v>
      </c>
      <c r="F31" s="8">
        <f t="shared" si="1"/>
        <v>183.690175140932</v>
      </c>
      <c r="G31" s="8">
        <f t="shared" ref="G31:R31" si="30">$B31*(1+(1/13)+(((G$1-2018)^2)/(((2012-2018)^2)+((2013-2018)^2)+((2014-2018)^2)+((2015-2018)^2)+((2016-2018)^2)+((2017-2018)^2)+((2018-2018)^2)+((2019-2018)^2)+((2020-2018)^2)+((2021-2018)^2)+((2022-2018)^2)+((2023-2018)^2)+((2024-2018)^2))))</f>
        <v>174.980727181663</v>
      </c>
      <c r="H31" s="8">
        <f t="shared" si="30"/>
        <v>167.854815214989</v>
      </c>
      <c r="I31" s="8">
        <f t="shared" si="30"/>
        <v>162.312439240909</v>
      </c>
      <c r="J31" s="8">
        <f t="shared" si="30"/>
        <v>158.353599259424</v>
      </c>
      <c r="K31" s="8">
        <f t="shared" si="30"/>
        <v>155.978295270533</v>
      </c>
      <c r="L31" s="8">
        <f t="shared" si="30"/>
        <v>155.186527274235</v>
      </c>
      <c r="M31" s="8">
        <f t="shared" si="30"/>
        <v>155.978295270533</v>
      </c>
      <c r="N31" s="8">
        <f t="shared" si="30"/>
        <v>158.353599259424</v>
      </c>
      <c r="O31" s="8">
        <f t="shared" si="30"/>
        <v>162.312439240909</v>
      </c>
      <c r="P31" s="8">
        <f t="shared" si="30"/>
        <v>167.854815214989</v>
      </c>
      <c r="Q31" s="8">
        <f t="shared" si="30"/>
        <v>174.980727181663</v>
      </c>
      <c r="R31" s="8">
        <f t="shared" si="30"/>
        <v>183.690175140932</v>
      </c>
    </row>
    <row r="32" spans="1:18">
      <c r="A32" s="8">
        <v>0.000670222205406818</v>
      </c>
      <c r="B32" s="8">
        <v>1003.45971728882</v>
      </c>
      <c r="C32" s="8">
        <v>10.991930879121</v>
      </c>
      <c r="D32" s="8">
        <v>-22112.6356986815</v>
      </c>
      <c r="E32" s="6" t="s">
        <v>35</v>
      </c>
      <c r="F32" s="8">
        <f t="shared" si="1"/>
        <v>1279.13546379674</v>
      </c>
      <c r="G32" s="8">
        <f t="shared" ref="G32:R32" si="31">$B32*(1+(1/13)+(((G$1-2018)^2)/(((2012-2018)^2)+((2013-2018)^2)+((2014-2018)^2)+((2015-2018)^2)+((2016-2018)^2)+((2017-2018)^2)+((2018-2018)^2)+((2019-2018)^2)+((2020-2018)^2)+((2021-2018)^2)+((2022-2018)^2)+((2023-2018)^2)+((2024-2018)^2))))</f>
        <v>1218.486799565</v>
      </c>
      <c r="H32" s="8">
        <f t="shared" si="31"/>
        <v>1168.86516519357</v>
      </c>
      <c r="I32" s="8">
        <f t="shared" si="31"/>
        <v>1130.27056068246</v>
      </c>
      <c r="J32" s="8">
        <f t="shared" si="31"/>
        <v>1102.70298603167</v>
      </c>
      <c r="K32" s="8">
        <f t="shared" si="31"/>
        <v>1086.1624412412</v>
      </c>
      <c r="L32" s="8">
        <f t="shared" si="31"/>
        <v>1080.64892631104</v>
      </c>
      <c r="M32" s="8">
        <f t="shared" si="31"/>
        <v>1086.1624412412</v>
      </c>
      <c r="N32" s="8">
        <f t="shared" si="31"/>
        <v>1102.70298603167</v>
      </c>
      <c r="O32" s="8">
        <f t="shared" si="31"/>
        <v>1130.27056068246</v>
      </c>
      <c r="P32" s="8">
        <f t="shared" si="31"/>
        <v>1168.86516519357</v>
      </c>
      <c r="Q32" s="8">
        <f t="shared" si="31"/>
        <v>1218.486799565</v>
      </c>
      <c r="R32" s="8">
        <f t="shared" si="31"/>
        <v>1279.13546379674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workbookViewId="0">
      <selection activeCell="E9" sqref="E3 E9"/>
    </sheetView>
  </sheetViews>
  <sheetFormatPr defaultColWidth="9" defaultRowHeight="14.4"/>
  <cols>
    <col min="1" max="2" width="15.712962962963" style="8" customWidth="1"/>
    <col min="3" max="4" width="12.3796296296296" style="8" customWidth="1"/>
    <col min="5" max="5" width="9" style="8"/>
    <col min="6" max="18" width="12.8888888888889" style="8"/>
    <col min="19" max="16384" width="9" style="8"/>
  </cols>
  <sheetData>
    <row r="1" s="8" customFormat="1" spans="1:18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</row>
    <row r="2" s="8" customFormat="1" spans="1:18">
      <c r="A2" s="8">
        <v>5.22950321054779e-6</v>
      </c>
      <c r="B2" s="8">
        <v>1022.92123568878</v>
      </c>
      <c r="C2" s="8">
        <v>19.4134920329672</v>
      </c>
      <c r="D2" s="8">
        <v>-38881.0628386816</v>
      </c>
      <c r="E2" s="6" t="s">
        <v>5</v>
      </c>
      <c r="F2" s="8">
        <f>$B2*(1+(1/13)+(((F$1-2018)^2)/(((2012-2018)^2)+((2013-2018)^2)+((2014-2018)^2)+((2015-2018)^2)+((2016-2018)^2)+((2017-2018)^2)+((2018-2018)^2)+((2019-2018)^2)+((2020-2018)^2)+((2021-2018)^2)+((2022-2018)^2)+((2023-2018)^2)+((2024-2018)^2))))</f>
        <v>1303.9435531857</v>
      </c>
      <c r="G2" s="8">
        <f t="shared" ref="G2:R2" si="0">$B2*(1+(1/13)+(((G$1-2018)^2)/(((2012-2018)^2)+((2013-2018)^2)+((2014-2018)^2)+((2015-2018)^2)+((2016-2018)^2)+((2017-2018)^2)+((2018-2018)^2)+((2019-2018)^2)+((2020-2018)^2)+((2021-2018)^2)+((2022-2018)^2)+((2023-2018)^2)+((2024-2018)^2))))</f>
        <v>1242.11864333638</v>
      </c>
      <c r="H2" s="8">
        <f t="shared" si="0"/>
        <v>1191.53462618693</v>
      </c>
      <c r="I2" s="8">
        <f t="shared" si="0"/>
        <v>1152.19150173736</v>
      </c>
      <c r="J2" s="8">
        <f t="shared" si="0"/>
        <v>1124.08926998767</v>
      </c>
      <c r="K2" s="8">
        <f t="shared" si="0"/>
        <v>1107.22793093786</v>
      </c>
      <c r="L2" s="8">
        <f t="shared" si="0"/>
        <v>1101.60748458792</v>
      </c>
      <c r="M2" s="8">
        <f t="shared" si="0"/>
        <v>1107.22793093786</v>
      </c>
      <c r="N2" s="8">
        <f t="shared" si="0"/>
        <v>1124.08926998767</v>
      </c>
      <c r="O2" s="8">
        <f t="shared" si="0"/>
        <v>1152.19150173736</v>
      </c>
      <c r="P2" s="8">
        <f t="shared" si="0"/>
        <v>1191.53462618693</v>
      </c>
      <c r="Q2" s="8">
        <f t="shared" si="0"/>
        <v>1242.11864333638</v>
      </c>
      <c r="R2" s="8">
        <f t="shared" si="0"/>
        <v>1303.9435531857</v>
      </c>
    </row>
    <row r="3" s="8" customFormat="1" spans="1:18">
      <c r="A3" s="10">
        <v>0.515189884959691</v>
      </c>
      <c r="B3" s="8">
        <v>2122.77744876162</v>
      </c>
      <c r="C3" s="8">
        <v>-2.29646571428577</v>
      </c>
      <c r="D3" s="8">
        <v>4915.81906835176</v>
      </c>
      <c r="E3" s="6" t="s">
        <v>6</v>
      </c>
      <c r="F3" s="8">
        <f t="shared" ref="F3:F32" si="1">$B3*(1+(1/13)+(((F$1-2018)^2)/(((2012-2018)^2)+((2013-2018)^2)+((2014-2018)^2)+((2015-2018)^2)+((2016-2018)^2)+((2017-2018)^2)+((2018-2018)^2)+((2019-2018)^2)+((2020-2018)^2)+((2021-2018)^2)+((2022-2018)^2)+((2023-2018)^2)+((2024-2018)^2))))</f>
        <v>2705.95806655328</v>
      </c>
      <c r="G3" s="8">
        <f t="shared" ref="G3:R3" si="2">$B3*(1+(1/13)+(((G$1-2018)^2)/(((2012-2018)^2)+((2013-2018)^2)+((2014-2018)^2)+((2015-2018)^2)+((2016-2018)^2)+((2017-2018)^2)+((2018-2018)^2)+((2019-2018)^2)+((2020-2018)^2)+((2021-2018)^2)+((2022-2018)^2)+((2023-2018)^2)+((2024-2018)^2))))</f>
        <v>2577.65833063911</v>
      </c>
      <c r="H3" s="8">
        <f t="shared" si="2"/>
        <v>2472.68581943661</v>
      </c>
      <c r="I3" s="8">
        <f t="shared" si="2"/>
        <v>2391.04053294578</v>
      </c>
      <c r="J3" s="8">
        <f t="shared" si="2"/>
        <v>2332.72247116662</v>
      </c>
      <c r="K3" s="8">
        <f t="shared" si="2"/>
        <v>2297.73163409912</v>
      </c>
      <c r="L3" s="8">
        <f t="shared" si="2"/>
        <v>2286.06802174328</v>
      </c>
      <c r="M3" s="8">
        <f t="shared" si="2"/>
        <v>2297.73163409912</v>
      </c>
      <c r="N3" s="8">
        <f t="shared" si="2"/>
        <v>2332.72247116662</v>
      </c>
      <c r="O3" s="8">
        <f t="shared" si="2"/>
        <v>2391.04053294578</v>
      </c>
      <c r="P3" s="8">
        <f t="shared" si="2"/>
        <v>2472.68581943661</v>
      </c>
      <c r="Q3" s="8">
        <f t="shared" si="2"/>
        <v>2577.65833063911</v>
      </c>
      <c r="R3" s="8">
        <f t="shared" si="2"/>
        <v>2705.95806655328</v>
      </c>
    </row>
    <row r="4" s="8" customFormat="1" spans="1:18">
      <c r="A4" s="8">
        <v>3.04633454052639e-9</v>
      </c>
      <c r="B4" s="8">
        <v>1376.38104504564</v>
      </c>
      <c r="C4" s="8">
        <v>46.729342692308</v>
      </c>
      <c r="D4" s="8">
        <v>-93868.2746069236</v>
      </c>
      <c r="E4" s="6" t="s">
        <v>7</v>
      </c>
      <c r="F4" s="8">
        <f t="shared" si="1"/>
        <v>1754.50770577247</v>
      </c>
      <c r="G4" s="8">
        <f t="shared" ref="G4:R4" si="3">$B4*(1+(1/13)+(((G$1-2018)^2)/(((2012-2018)^2)+((2013-2018)^2)+((2014-2018)^2)+((2015-2018)^2)+((2016-2018)^2)+((2017-2018)^2)+((2018-2018)^2)+((2019-2018)^2)+((2020-2018)^2)+((2021-2018)^2)+((2022-2018)^2)+((2023-2018)^2)+((2024-2018)^2))))</f>
        <v>1671.31984041257</v>
      </c>
      <c r="H4" s="8">
        <f t="shared" si="3"/>
        <v>1603.25704148174</v>
      </c>
      <c r="I4" s="8">
        <f t="shared" si="3"/>
        <v>1550.31930897998</v>
      </c>
      <c r="J4" s="8">
        <f t="shared" si="3"/>
        <v>1512.5066429073</v>
      </c>
      <c r="K4" s="8">
        <f t="shared" si="3"/>
        <v>1489.81904326369</v>
      </c>
      <c r="L4" s="8">
        <f t="shared" si="3"/>
        <v>1482.25651004915</v>
      </c>
      <c r="M4" s="8">
        <f t="shared" si="3"/>
        <v>1489.81904326369</v>
      </c>
      <c r="N4" s="8">
        <f t="shared" si="3"/>
        <v>1512.5066429073</v>
      </c>
      <c r="O4" s="8">
        <f t="shared" si="3"/>
        <v>1550.31930897998</v>
      </c>
      <c r="P4" s="8">
        <f t="shared" si="3"/>
        <v>1603.25704148174</v>
      </c>
      <c r="Q4" s="8">
        <f t="shared" si="3"/>
        <v>1671.31984041257</v>
      </c>
      <c r="R4" s="8">
        <f t="shared" si="3"/>
        <v>1754.50770577247</v>
      </c>
    </row>
    <row r="5" s="8" customFormat="1" spans="1:18">
      <c r="A5" s="8">
        <v>3.94395264764274e-5</v>
      </c>
      <c r="B5" s="8">
        <v>431.94236548323</v>
      </c>
      <c r="C5" s="8">
        <v>10.1443534065935</v>
      </c>
      <c r="D5" s="8">
        <v>-20323.9133514287</v>
      </c>
      <c r="E5" s="6" t="s">
        <v>8</v>
      </c>
      <c r="F5" s="8">
        <f t="shared" si="1"/>
        <v>550.607850506095</v>
      </c>
      <c r="G5" s="8">
        <f t="shared" ref="G5:R5" si="4">$B5*(1+(1/13)+(((G$1-2018)^2)/(((2012-2018)^2)+((2013-2018)^2)+((2014-2018)^2)+((2015-2018)^2)+((2016-2018)^2)+((2017-2018)^2)+((2018-2018)^2)+((2019-2018)^2)+((2020-2018)^2)+((2021-2018)^2)+((2022-2018)^2)+((2023-2018)^2)+((2024-2018)^2))))</f>
        <v>524.501443801065</v>
      </c>
      <c r="H5" s="8">
        <f t="shared" si="4"/>
        <v>503.141656496949</v>
      </c>
      <c r="I5" s="8">
        <f t="shared" si="4"/>
        <v>486.528488593748</v>
      </c>
      <c r="J5" s="8">
        <f t="shared" si="4"/>
        <v>474.661940091462</v>
      </c>
      <c r="K5" s="8">
        <f t="shared" si="4"/>
        <v>467.54201099009</v>
      </c>
      <c r="L5" s="8">
        <f t="shared" si="4"/>
        <v>465.168701289632</v>
      </c>
      <c r="M5" s="8">
        <f t="shared" si="4"/>
        <v>467.54201099009</v>
      </c>
      <c r="N5" s="8">
        <f t="shared" si="4"/>
        <v>474.661940091462</v>
      </c>
      <c r="O5" s="8">
        <f t="shared" si="4"/>
        <v>486.528488593748</v>
      </c>
      <c r="P5" s="8">
        <f t="shared" si="4"/>
        <v>503.141656496949</v>
      </c>
      <c r="Q5" s="8">
        <f t="shared" si="4"/>
        <v>524.501443801065</v>
      </c>
      <c r="R5" s="8">
        <f t="shared" si="4"/>
        <v>550.607850506095</v>
      </c>
    </row>
    <row r="6" s="8" customFormat="1" spans="1:18">
      <c r="A6" s="8">
        <v>3.82408626800032e-5</v>
      </c>
      <c r="B6" s="8">
        <v>300.652954130932</v>
      </c>
      <c r="C6" s="8">
        <v>8.49263637362642</v>
      </c>
      <c r="D6" s="8">
        <v>-17005.604428132</v>
      </c>
      <c r="E6" s="6" t="s">
        <v>9</v>
      </c>
      <c r="F6" s="8">
        <f t="shared" si="1"/>
        <v>383.249919551518</v>
      </c>
      <c r="G6" s="8">
        <f t="shared" ref="G6:R6" si="5">$B6*(1+(1/13)+(((G$1-2018)^2)/(((2012-2018)^2)+((2013-2018)^2)+((2014-2018)^2)+((2015-2018)^2)+((2016-2018)^2)+((2017-2018)^2)+((2018-2018)^2)+((2019-2018)^2)+((2020-2018)^2)+((2021-2018)^2)+((2022-2018)^2)+((2023-2018)^2)+((2024-2018)^2))))</f>
        <v>365.078587158989</v>
      </c>
      <c r="H6" s="8">
        <f t="shared" si="5"/>
        <v>350.211133383284</v>
      </c>
      <c r="I6" s="8">
        <f t="shared" si="5"/>
        <v>338.647558224402</v>
      </c>
      <c r="J6" s="8">
        <f t="shared" si="5"/>
        <v>330.387861682343</v>
      </c>
      <c r="K6" s="8">
        <f t="shared" si="5"/>
        <v>325.432043757108</v>
      </c>
      <c r="L6" s="8">
        <f t="shared" si="5"/>
        <v>323.780104448696</v>
      </c>
      <c r="M6" s="8">
        <f t="shared" si="5"/>
        <v>325.432043757108</v>
      </c>
      <c r="N6" s="8">
        <f t="shared" si="5"/>
        <v>330.387861682343</v>
      </c>
      <c r="O6" s="8">
        <f t="shared" si="5"/>
        <v>338.647558224402</v>
      </c>
      <c r="P6" s="8">
        <f t="shared" si="5"/>
        <v>350.211133383284</v>
      </c>
      <c r="Q6" s="8">
        <f t="shared" si="5"/>
        <v>365.078587158989</v>
      </c>
      <c r="R6" s="8">
        <f t="shared" si="5"/>
        <v>383.249919551518</v>
      </c>
    </row>
    <row r="7" s="8" customFormat="1" spans="1:18">
      <c r="A7" s="8">
        <v>0.00446334939053948</v>
      </c>
      <c r="B7" s="8">
        <v>1549.72143176195</v>
      </c>
      <c r="C7" s="8">
        <v>10.3917570329671</v>
      </c>
      <c r="D7" s="8">
        <v>-20646.8332394507</v>
      </c>
      <c r="E7" s="6" t="s">
        <v>10</v>
      </c>
      <c r="F7" s="8">
        <f t="shared" si="1"/>
        <v>1975.4690778504</v>
      </c>
      <c r="G7" s="8">
        <f t="shared" ref="G7:R7" si="6">$B7*(1+(1/13)+(((G$1-2018)^2)/(((2012-2018)^2)+((2013-2018)^2)+((2014-2018)^2)+((2015-2018)^2)+((2016-2018)^2)+((2017-2018)^2)+((2018-2018)^2)+((2019-2018)^2)+((2020-2018)^2)+((2021-2018)^2)+((2022-2018)^2)+((2023-2018)^2)+((2024-2018)^2))))</f>
        <v>1881.80459571094</v>
      </c>
      <c r="H7" s="8">
        <f t="shared" si="6"/>
        <v>1805.17001941502</v>
      </c>
      <c r="I7" s="8">
        <f t="shared" si="6"/>
        <v>1745.56534896264</v>
      </c>
      <c r="J7" s="8">
        <f t="shared" si="6"/>
        <v>1702.9905843538</v>
      </c>
      <c r="K7" s="8">
        <f t="shared" si="6"/>
        <v>1677.44572558849</v>
      </c>
      <c r="L7" s="8">
        <f t="shared" si="6"/>
        <v>1668.93077266672</v>
      </c>
      <c r="M7" s="8">
        <f t="shared" si="6"/>
        <v>1677.44572558849</v>
      </c>
      <c r="N7" s="8">
        <f t="shared" si="6"/>
        <v>1702.9905843538</v>
      </c>
      <c r="O7" s="8">
        <f t="shared" si="6"/>
        <v>1745.56534896264</v>
      </c>
      <c r="P7" s="8">
        <f t="shared" si="6"/>
        <v>1805.17001941502</v>
      </c>
      <c r="Q7" s="8">
        <f t="shared" si="6"/>
        <v>1881.80459571094</v>
      </c>
      <c r="R7" s="8">
        <f t="shared" si="6"/>
        <v>1975.4690778504</v>
      </c>
    </row>
    <row r="8" s="8" customFormat="1" spans="1:18">
      <c r="A8" s="8">
        <v>0.0114024261597732</v>
      </c>
      <c r="B8" s="8">
        <v>175.515862555193</v>
      </c>
      <c r="C8" s="8">
        <v>2.97779104395607</v>
      </c>
      <c r="D8" s="8">
        <v>-5927.18470208796</v>
      </c>
      <c r="E8" s="6" t="s">
        <v>11</v>
      </c>
      <c r="F8" s="8">
        <f t="shared" si="1"/>
        <v>223.734506114312</v>
      </c>
      <c r="G8" s="8">
        <f t="shared" ref="G8:R8" si="7">$B8*(1+(1/13)+(((G$1-2018)^2)/(((2012-2018)^2)+((2013-2018)^2)+((2014-2018)^2)+((2015-2018)^2)+((2016-2018)^2)+((2017-2018)^2)+((2018-2018)^2)+((2019-2018)^2)+((2020-2018)^2)+((2021-2018)^2)+((2022-2018)^2)+((2023-2018)^2)+((2024-2018)^2))))</f>
        <v>213.126404531306</v>
      </c>
      <c r="H8" s="8">
        <f t="shared" si="7"/>
        <v>204.447048690665</v>
      </c>
      <c r="I8" s="8">
        <f t="shared" si="7"/>
        <v>197.696438592388</v>
      </c>
      <c r="J8" s="8">
        <f t="shared" si="7"/>
        <v>192.874574236476</v>
      </c>
      <c r="K8" s="8">
        <f t="shared" si="7"/>
        <v>189.981455622929</v>
      </c>
      <c r="L8" s="8">
        <f t="shared" si="7"/>
        <v>189.017082751746</v>
      </c>
      <c r="M8" s="8">
        <f t="shared" si="7"/>
        <v>189.981455622929</v>
      </c>
      <c r="N8" s="8">
        <f t="shared" si="7"/>
        <v>192.874574236476</v>
      </c>
      <c r="O8" s="8">
        <f t="shared" si="7"/>
        <v>197.696438592388</v>
      </c>
      <c r="P8" s="8">
        <f t="shared" si="7"/>
        <v>204.447048690665</v>
      </c>
      <c r="Q8" s="8">
        <f t="shared" si="7"/>
        <v>213.126404531306</v>
      </c>
      <c r="R8" s="8">
        <f t="shared" si="7"/>
        <v>223.734506114312</v>
      </c>
    </row>
    <row r="9" s="8" customFormat="1" spans="1:18">
      <c r="A9" s="10">
        <v>0.363655120433545</v>
      </c>
      <c r="B9" s="8">
        <v>205.96565029112</v>
      </c>
      <c r="C9" s="8">
        <v>1.00812824175827</v>
      </c>
      <c r="D9" s="8">
        <v>-1945.30689879126</v>
      </c>
      <c r="E9" s="6" t="s">
        <v>12</v>
      </c>
      <c r="F9" s="8">
        <f t="shared" si="1"/>
        <v>262.549620151318</v>
      </c>
      <c r="G9" s="8">
        <f t="shared" ref="G9:R9" si="8">$B9*(1+(1/13)+(((G$1-2018)^2)/(((2012-2018)^2)+((2013-2018)^2)+((2014-2018)^2)+((2015-2018)^2)+((2016-2018)^2)+((2017-2018)^2)+((2018-2018)^2)+((2019-2018)^2)+((2020-2018)^2)+((2021-2018)^2)+((2022-2018)^2)+((2023-2018)^2)+((2024-2018)^2))))</f>
        <v>250.101146782074</v>
      </c>
      <c r="H9" s="8">
        <f t="shared" si="8"/>
        <v>239.916032207239</v>
      </c>
      <c r="I9" s="8">
        <f t="shared" si="8"/>
        <v>231.994276426811</v>
      </c>
      <c r="J9" s="8">
        <f t="shared" si="8"/>
        <v>226.335879440791</v>
      </c>
      <c r="K9" s="8">
        <f t="shared" si="8"/>
        <v>222.940841249179</v>
      </c>
      <c r="L9" s="8">
        <f t="shared" si="8"/>
        <v>221.809161851975</v>
      </c>
      <c r="M9" s="8">
        <f t="shared" si="8"/>
        <v>222.940841249179</v>
      </c>
      <c r="N9" s="8">
        <f t="shared" si="8"/>
        <v>226.335879440791</v>
      </c>
      <c r="O9" s="8">
        <f t="shared" si="8"/>
        <v>231.994276426811</v>
      </c>
      <c r="P9" s="8">
        <f t="shared" si="8"/>
        <v>239.916032207239</v>
      </c>
      <c r="Q9" s="8">
        <f t="shared" si="8"/>
        <v>250.101146782074</v>
      </c>
      <c r="R9" s="8">
        <f t="shared" si="8"/>
        <v>262.549620151318</v>
      </c>
    </row>
    <row r="10" s="8" customFormat="1" spans="1:18">
      <c r="A10" s="8">
        <v>4.21419927075562e-10</v>
      </c>
      <c r="B10" s="8">
        <v>695.756170623182</v>
      </c>
      <c r="C10" s="8">
        <v>39.9792946703299</v>
      </c>
      <c r="D10" s="8">
        <v>-80089.6469147257</v>
      </c>
      <c r="E10" s="6" t="s">
        <v>13</v>
      </c>
      <c r="F10" s="8">
        <f t="shared" si="1"/>
        <v>886.897975739441</v>
      </c>
      <c r="G10" s="8">
        <f t="shared" ref="G10:R10" si="9">$B10*(1+(1/13)+(((G$1-2018)^2)/(((2012-2018)^2)+((2013-2018)^2)+((2014-2018)^2)+((2015-2018)^2)+((2016-2018)^2)+((2017-2018)^2)+((2018-2018)^2)+((2019-2018)^2)+((2020-2018)^2)+((2021-2018)^2)+((2022-2018)^2)+((2023-2018)^2)+((2024-2018)^2))))</f>
        <v>844.846778613864</v>
      </c>
      <c r="H10" s="8">
        <f t="shared" si="9"/>
        <v>810.441253692937</v>
      </c>
      <c r="I10" s="8">
        <f t="shared" si="9"/>
        <v>783.681400976661</v>
      </c>
      <c r="J10" s="8">
        <f t="shared" si="9"/>
        <v>764.567220465035</v>
      </c>
      <c r="K10" s="8">
        <f t="shared" si="9"/>
        <v>753.09871215806</v>
      </c>
      <c r="L10" s="8">
        <f t="shared" si="9"/>
        <v>749.275876055735</v>
      </c>
      <c r="M10" s="8">
        <f t="shared" si="9"/>
        <v>753.09871215806</v>
      </c>
      <c r="N10" s="8">
        <f t="shared" si="9"/>
        <v>764.567220465035</v>
      </c>
      <c r="O10" s="8">
        <f t="shared" si="9"/>
        <v>783.681400976661</v>
      </c>
      <c r="P10" s="8">
        <f t="shared" si="9"/>
        <v>810.441253692937</v>
      </c>
      <c r="Q10" s="8">
        <f t="shared" si="9"/>
        <v>844.846778613864</v>
      </c>
      <c r="R10" s="8">
        <f t="shared" si="9"/>
        <v>886.897975739441</v>
      </c>
    </row>
    <row r="11" s="8" customFormat="1" spans="1:18">
      <c r="A11" s="8">
        <v>2.61437375545893e-10</v>
      </c>
      <c r="B11" s="8">
        <v>16570.498159429</v>
      </c>
      <c r="C11" s="8">
        <v>203.967716923078</v>
      </c>
      <c r="D11" s="8">
        <v>-409462.157470002</v>
      </c>
      <c r="E11" s="6" t="s">
        <v>14</v>
      </c>
      <c r="F11" s="8">
        <f t="shared" si="1"/>
        <v>21122.8328186128</v>
      </c>
      <c r="G11" s="8">
        <f t="shared" ref="G11:R11" si="10">$B11*(1+(1/13)+(((G$1-2018)^2)/(((2012-2018)^2)+((2013-2018)^2)+((2014-2018)^2)+((2015-2018)^2)+((2016-2018)^2)+((2017-2018)^2)+((2018-2018)^2)+((2019-2018)^2)+((2020-2018)^2)+((2021-2018)^2)+((2022-2018)^2)+((2023-2018)^2)+((2024-2018)^2))))</f>
        <v>20121.3191935924</v>
      </c>
      <c r="H11" s="8">
        <f t="shared" si="10"/>
        <v>19301.8989549393</v>
      </c>
      <c r="I11" s="8">
        <f t="shared" si="10"/>
        <v>18664.5721026536</v>
      </c>
      <c r="J11" s="8">
        <f t="shared" si="10"/>
        <v>18209.3386367352</v>
      </c>
      <c r="K11" s="8">
        <f t="shared" si="10"/>
        <v>17936.1985571842</v>
      </c>
      <c r="L11" s="8">
        <f t="shared" si="10"/>
        <v>17845.1518640005</v>
      </c>
      <c r="M11" s="8">
        <f t="shared" si="10"/>
        <v>17936.1985571842</v>
      </c>
      <c r="N11" s="8">
        <f t="shared" si="10"/>
        <v>18209.3386367352</v>
      </c>
      <c r="O11" s="8">
        <f t="shared" si="10"/>
        <v>18664.5721026536</v>
      </c>
      <c r="P11" s="8">
        <f t="shared" si="10"/>
        <v>19301.8989549393</v>
      </c>
      <c r="Q11" s="8">
        <f t="shared" si="10"/>
        <v>20121.3191935924</v>
      </c>
      <c r="R11" s="8">
        <f t="shared" si="10"/>
        <v>21122.8328186128</v>
      </c>
    </row>
    <row r="12" s="8" customFormat="1" spans="1:18">
      <c r="A12" s="8">
        <v>2.14950674878215e-11</v>
      </c>
      <c r="B12" s="8">
        <v>3467.6837913293</v>
      </c>
      <c r="C12" s="8">
        <v>117.572190000001</v>
      </c>
      <c r="D12" s="8">
        <v>-236042.371757693</v>
      </c>
      <c r="E12" s="6" t="s">
        <v>15</v>
      </c>
      <c r="F12" s="8">
        <f t="shared" si="1"/>
        <v>4420.34417356262</v>
      </c>
      <c r="G12" s="8">
        <f t="shared" ref="G12:R12" si="11">$B12*(1+(1/13)+(((G$1-2018)^2)/(((2012-2018)^2)+((2013-2018)^2)+((2014-2018)^2)+((2015-2018)^2)+((2016-2018)^2)+((2017-2018)^2)+((2018-2018)^2)+((2019-2018)^2)+((2020-2018)^2)+((2021-2018)^2)+((2022-2018)^2)+((2023-2018)^2)+((2024-2018)^2))))</f>
        <v>4210.75888947129</v>
      </c>
      <c r="H12" s="8">
        <f t="shared" si="11"/>
        <v>4039.28002066929</v>
      </c>
      <c r="I12" s="8">
        <f t="shared" si="11"/>
        <v>3905.90756715663</v>
      </c>
      <c r="J12" s="8">
        <f t="shared" si="11"/>
        <v>3810.64152893329</v>
      </c>
      <c r="K12" s="8">
        <f t="shared" si="11"/>
        <v>3753.4819059993</v>
      </c>
      <c r="L12" s="8">
        <f t="shared" si="11"/>
        <v>3734.42869835463</v>
      </c>
      <c r="M12" s="8">
        <f t="shared" si="11"/>
        <v>3753.4819059993</v>
      </c>
      <c r="N12" s="8">
        <f t="shared" si="11"/>
        <v>3810.64152893329</v>
      </c>
      <c r="O12" s="8">
        <f t="shared" si="11"/>
        <v>3905.90756715663</v>
      </c>
      <c r="P12" s="8">
        <f t="shared" si="11"/>
        <v>4039.28002066929</v>
      </c>
      <c r="Q12" s="8">
        <f t="shared" si="11"/>
        <v>4210.75888947129</v>
      </c>
      <c r="R12" s="8">
        <f t="shared" si="11"/>
        <v>4420.34417356262</v>
      </c>
    </row>
    <row r="13" s="8" customFormat="1" spans="1:18">
      <c r="A13" s="8">
        <v>2.6744628735013e-10</v>
      </c>
      <c r="B13" s="8">
        <v>1800.3381141667</v>
      </c>
      <c r="C13" s="8">
        <v>67.0893479670333</v>
      </c>
      <c r="D13" s="8">
        <v>-134842.463124396</v>
      </c>
      <c r="E13" s="6" t="s">
        <v>16</v>
      </c>
      <c r="F13" s="8">
        <f t="shared" si="1"/>
        <v>2294.93649717953</v>
      </c>
      <c r="G13" s="8">
        <f t="shared" ref="G13:R13" si="12">$B13*(1+(1/13)+(((G$1-2018)^2)/(((2012-2018)^2)+((2013-2018)^2)+((2014-2018)^2)+((2015-2018)^2)+((2016-2018)^2)+((2017-2018)^2)+((2018-2018)^2)+((2019-2018)^2)+((2020-2018)^2)+((2021-2018)^2)+((2022-2018)^2)+((2023-2018)^2)+((2024-2018)^2))))</f>
        <v>2186.12485291671</v>
      </c>
      <c r="H13" s="8">
        <f t="shared" si="12"/>
        <v>2097.0971439744</v>
      </c>
      <c r="I13" s="8">
        <f t="shared" si="12"/>
        <v>2027.8533703526</v>
      </c>
      <c r="J13" s="8">
        <f t="shared" si="12"/>
        <v>1978.39353205132</v>
      </c>
      <c r="K13" s="8">
        <f t="shared" si="12"/>
        <v>1948.71762907055</v>
      </c>
      <c r="L13" s="8">
        <f t="shared" si="12"/>
        <v>1938.82566141029</v>
      </c>
      <c r="M13" s="8">
        <f t="shared" si="12"/>
        <v>1948.71762907055</v>
      </c>
      <c r="N13" s="8">
        <f t="shared" si="12"/>
        <v>1978.39353205132</v>
      </c>
      <c r="O13" s="8">
        <f t="shared" si="12"/>
        <v>2027.8533703526</v>
      </c>
      <c r="P13" s="8">
        <f t="shared" si="12"/>
        <v>2097.0971439744</v>
      </c>
      <c r="Q13" s="8">
        <f t="shared" si="12"/>
        <v>2186.12485291671</v>
      </c>
      <c r="R13" s="8">
        <f t="shared" si="12"/>
        <v>2294.93649717953</v>
      </c>
    </row>
    <row r="14" s="8" customFormat="1" spans="1:18">
      <c r="A14" s="8">
        <v>1.72582543143261e-10</v>
      </c>
      <c r="B14" s="8">
        <v>1556.48855955899</v>
      </c>
      <c r="C14" s="8">
        <v>64.9701841208794</v>
      </c>
      <c r="D14" s="8">
        <v>-130545.506689012</v>
      </c>
      <c r="E14" s="6" t="s">
        <v>17</v>
      </c>
      <c r="F14" s="8">
        <f t="shared" si="1"/>
        <v>1984.09530669059</v>
      </c>
      <c r="G14" s="8">
        <f t="shared" ref="G14:R14" si="13">$B14*(1+(1/13)+(((G$1-2018)^2)/(((2012-2018)^2)+((2013-2018)^2)+((2014-2018)^2)+((2015-2018)^2)+((2016-2018)^2)+((2017-2018)^2)+((2018-2018)^2)+((2019-2018)^2)+((2020-2018)^2)+((2021-2018)^2)+((2022-2018)^2)+((2023-2018)^2)+((2024-2018)^2))))</f>
        <v>1890.02182232164</v>
      </c>
      <c r="H14" s="8">
        <f t="shared" si="13"/>
        <v>1813.05260783795</v>
      </c>
      <c r="I14" s="8">
        <f t="shared" si="13"/>
        <v>1753.18766323953</v>
      </c>
      <c r="J14" s="8">
        <f t="shared" si="13"/>
        <v>1710.42698852637</v>
      </c>
      <c r="K14" s="8">
        <f t="shared" si="13"/>
        <v>1684.77058369847</v>
      </c>
      <c r="L14" s="8">
        <f t="shared" si="13"/>
        <v>1676.21844875584</v>
      </c>
      <c r="M14" s="8">
        <f t="shared" si="13"/>
        <v>1684.77058369847</v>
      </c>
      <c r="N14" s="8">
        <f t="shared" si="13"/>
        <v>1710.42698852637</v>
      </c>
      <c r="O14" s="8">
        <f t="shared" si="13"/>
        <v>1753.18766323953</v>
      </c>
      <c r="P14" s="8">
        <f t="shared" si="13"/>
        <v>1813.05260783795</v>
      </c>
      <c r="Q14" s="8">
        <f t="shared" si="13"/>
        <v>1890.02182232164</v>
      </c>
      <c r="R14" s="8">
        <f t="shared" si="13"/>
        <v>1984.09530669059</v>
      </c>
    </row>
    <row r="15" s="8" customFormat="1" spans="1:18">
      <c r="A15" s="8">
        <v>2.509901901054e-11</v>
      </c>
      <c r="B15" s="8">
        <v>365.974298080936</v>
      </c>
      <c r="C15" s="8">
        <v>37.6533436263738</v>
      </c>
      <c r="D15" s="8">
        <v>-75703.2688557147</v>
      </c>
      <c r="E15" s="6" t="s">
        <v>18</v>
      </c>
      <c r="F15" s="8">
        <f t="shared" si="1"/>
        <v>466.516687663611</v>
      </c>
      <c r="G15" s="8">
        <f t="shared" ref="G15:R15" si="14">$B15*(1+(1/13)+(((G$1-2018)^2)/(((2012-2018)^2)+((2013-2018)^2)+((2014-2018)^2)+((2015-2018)^2)+((2016-2018)^2)+((2017-2018)^2)+((2018-2018)^2)+((2019-2018)^2)+((2020-2018)^2)+((2021-2018)^2)+((2022-2018)^2)+((2023-2018)^2)+((2024-2018)^2))))</f>
        <v>444.397361955422</v>
      </c>
      <c r="H15" s="8">
        <f t="shared" si="14"/>
        <v>426.299731830541</v>
      </c>
      <c r="I15" s="8">
        <f t="shared" si="14"/>
        <v>412.223797288967</v>
      </c>
      <c r="J15" s="8">
        <f t="shared" si="14"/>
        <v>402.169558330699</v>
      </c>
      <c r="K15" s="8">
        <f t="shared" si="14"/>
        <v>396.137014955739</v>
      </c>
      <c r="L15" s="8">
        <f t="shared" si="14"/>
        <v>394.126167164085</v>
      </c>
      <c r="M15" s="8">
        <f t="shared" si="14"/>
        <v>396.137014955739</v>
      </c>
      <c r="N15" s="8">
        <f t="shared" si="14"/>
        <v>402.169558330699</v>
      </c>
      <c r="O15" s="8">
        <f t="shared" si="14"/>
        <v>412.223797288967</v>
      </c>
      <c r="P15" s="8">
        <f t="shared" si="14"/>
        <v>426.299731830541</v>
      </c>
      <c r="Q15" s="8">
        <f t="shared" si="14"/>
        <v>444.397361955422</v>
      </c>
      <c r="R15" s="8">
        <f t="shared" si="14"/>
        <v>466.516687663611</v>
      </c>
    </row>
    <row r="16" s="8" customFormat="1" spans="1:18">
      <c r="A16" s="8">
        <v>3.36251959709332e-5</v>
      </c>
      <c r="B16" s="8">
        <v>21546.148687548</v>
      </c>
      <c r="C16" s="8">
        <v>72.9321218681323</v>
      </c>
      <c r="D16" s="8">
        <v>-145748.561231429</v>
      </c>
      <c r="E16" s="6" t="s">
        <v>19</v>
      </c>
      <c r="F16" s="8">
        <f t="shared" si="1"/>
        <v>27465.4203050062</v>
      </c>
      <c r="G16" s="8">
        <f t="shared" ref="G16:R16" si="15">$B16*(1+(1/13)+(((G$1-2018)^2)/(((2012-2018)^2)+((2013-2018)^2)+((2014-2018)^2)+((2015-2018)^2)+((2016-2018)^2)+((2017-2018)^2)+((2018-2018)^2)+((2019-2018)^2)+((2020-2018)^2)+((2021-2018)^2)+((2022-2018)^2)+((2023-2018)^2)+((2024-2018)^2))))</f>
        <v>26163.1805491654</v>
      </c>
      <c r="H16" s="8">
        <f t="shared" si="15"/>
        <v>25097.7116580229</v>
      </c>
      <c r="I16" s="8">
        <f t="shared" si="15"/>
        <v>24269.0136315788</v>
      </c>
      <c r="J16" s="8">
        <f t="shared" si="15"/>
        <v>23677.0864698329</v>
      </c>
      <c r="K16" s="8">
        <f t="shared" si="15"/>
        <v>23321.9301727854</v>
      </c>
      <c r="L16" s="8">
        <f t="shared" si="15"/>
        <v>23203.5447404363</v>
      </c>
      <c r="M16" s="8">
        <f t="shared" si="15"/>
        <v>23321.9301727854</v>
      </c>
      <c r="N16" s="8">
        <f t="shared" si="15"/>
        <v>23677.0864698329</v>
      </c>
      <c r="O16" s="8">
        <f t="shared" si="15"/>
        <v>24269.0136315788</v>
      </c>
      <c r="P16" s="8">
        <f t="shared" si="15"/>
        <v>25097.7116580229</v>
      </c>
      <c r="Q16" s="8">
        <f t="shared" si="15"/>
        <v>26163.1805491654</v>
      </c>
      <c r="R16" s="8">
        <f t="shared" si="15"/>
        <v>27465.4203050062</v>
      </c>
    </row>
    <row r="17" s="8" customFormat="1" spans="1:18">
      <c r="A17" s="8">
        <v>3.09304111345156e-11</v>
      </c>
      <c r="B17" s="8">
        <v>1012.00080871897</v>
      </c>
      <c r="C17" s="8">
        <v>61.4185592307695</v>
      </c>
      <c r="D17" s="8">
        <v>-123371.544887693</v>
      </c>
      <c r="E17" s="6" t="s">
        <v>20</v>
      </c>
      <c r="F17" s="8">
        <f t="shared" si="1"/>
        <v>1290.02300891649</v>
      </c>
      <c r="G17" s="8">
        <f t="shared" ref="G17:R17" si="16">$B17*(1+(1/13)+(((G$1-2018)^2)/(((2012-2018)^2)+((2013-2018)^2)+((2014-2018)^2)+((2015-2018)^2)+((2016-2018)^2)+((2017-2018)^2)+((2018-2018)^2)+((2019-2018)^2)+((2020-2018)^2)+((2021-2018)^2)+((2022-2018)^2)+((2023-2018)^2)+((2024-2018)^2))))</f>
        <v>1228.85812487303</v>
      </c>
      <c r="H17" s="8">
        <f t="shared" si="16"/>
        <v>1178.81412883748</v>
      </c>
      <c r="I17" s="8">
        <f t="shared" si="16"/>
        <v>1139.89102080983</v>
      </c>
      <c r="J17" s="8">
        <f t="shared" si="16"/>
        <v>1112.08880079007</v>
      </c>
      <c r="K17" s="8">
        <f t="shared" si="16"/>
        <v>1095.40746877822</v>
      </c>
      <c r="L17" s="8">
        <f t="shared" si="16"/>
        <v>1089.84702477427</v>
      </c>
      <c r="M17" s="8">
        <f t="shared" si="16"/>
        <v>1095.40746877822</v>
      </c>
      <c r="N17" s="8">
        <f t="shared" si="16"/>
        <v>1112.08880079007</v>
      </c>
      <c r="O17" s="8">
        <f t="shared" si="16"/>
        <v>1139.89102080983</v>
      </c>
      <c r="P17" s="8">
        <f t="shared" si="16"/>
        <v>1178.81412883748</v>
      </c>
      <c r="Q17" s="8">
        <f t="shared" si="16"/>
        <v>1228.85812487303</v>
      </c>
      <c r="R17" s="8">
        <f t="shared" si="16"/>
        <v>1290.02300891649</v>
      </c>
    </row>
    <row r="18" s="8" customFormat="1" spans="1:18">
      <c r="A18" s="8">
        <v>1.59319222391833e-9</v>
      </c>
      <c r="B18" s="8">
        <v>1797.18799800263</v>
      </c>
      <c r="C18" s="8">
        <v>56.7484659890113</v>
      </c>
      <c r="D18" s="8">
        <v>-113951.15830044</v>
      </c>
      <c r="E18" s="6" t="s">
        <v>21</v>
      </c>
      <c r="F18" s="8">
        <f t="shared" si="1"/>
        <v>2290.92096448687</v>
      </c>
      <c r="G18" s="8">
        <f t="shared" ref="G18:R18" si="17">$B18*(1+(1/13)+(((G$1-2018)^2)/(((2012-2018)^2)+((2013-2018)^2)+((2014-2018)^2)+((2015-2018)^2)+((2016-2018)^2)+((2017-2018)^2)+((2018-2018)^2)+((2019-2018)^2)+((2020-2018)^2)+((2021-2018)^2)+((2022-2018)^2)+((2023-2018)^2)+((2024-2018)^2))))</f>
        <v>2182.29971186034</v>
      </c>
      <c r="H18" s="8">
        <f t="shared" si="17"/>
        <v>2093.42777789318</v>
      </c>
      <c r="I18" s="8">
        <f t="shared" si="17"/>
        <v>2024.30516258538</v>
      </c>
      <c r="J18" s="8">
        <f t="shared" si="17"/>
        <v>1974.93186593696</v>
      </c>
      <c r="K18" s="8">
        <f t="shared" si="17"/>
        <v>1945.3078879479</v>
      </c>
      <c r="L18" s="8">
        <f t="shared" si="17"/>
        <v>1935.43322861822</v>
      </c>
      <c r="M18" s="8">
        <f t="shared" si="17"/>
        <v>1945.3078879479</v>
      </c>
      <c r="N18" s="8">
        <f t="shared" si="17"/>
        <v>1974.93186593696</v>
      </c>
      <c r="O18" s="8">
        <f t="shared" si="17"/>
        <v>2024.30516258538</v>
      </c>
      <c r="P18" s="8">
        <f t="shared" si="17"/>
        <v>2093.42777789318</v>
      </c>
      <c r="Q18" s="8">
        <f t="shared" si="17"/>
        <v>2182.29971186034</v>
      </c>
      <c r="R18" s="8">
        <f t="shared" si="17"/>
        <v>2290.92096448687</v>
      </c>
    </row>
    <row r="19" s="8" customFormat="1" spans="1:18">
      <c r="A19" s="8">
        <v>1.56928208976933e-10</v>
      </c>
      <c r="B19" s="8">
        <v>1601.37967830752</v>
      </c>
      <c r="C19" s="8">
        <v>66.4842687912091</v>
      </c>
      <c r="D19" s="8">
        <v>-133599.160738352</v>
      </c>
      <c r="E19" s="6" t="s">
        <v>22</v>
      </c>
      <c r="F19" s="8">
        <f t="shared" si="1"/>
        <v>2041.31915037002</v>
      </c>
      <c r="G19" s="8">
        <f t="shared" ref="G19:R19" si="18">$B19*(1+(1/13)+(((G$1-2018)^2)/(((2012-2018)^2)+((2013-2018)^2)+((2014-2018)^2)+((2015-2018)^2)+((2016-2018)^2)+((2017-2018)^2)+((2018-2018)^2)+((2019-2018)^2)+((2020-2018)^2)+((2021-2018)^2)+((2022-2018)^2)+((2023-2018)^2)+((2024-2018)^2))))</f>
        <v>1944.53246651627</v>
      </c>
      <c r="H19" s="8">
        <f t="shared" si="18"/>
        <v>1865.34336154502</v>
      </c>
      <c r="I19" s="8">
        <f t="shared" si="18"/>
        <v>1803.75183545627</v>
      </c>
      <c r="J19" s="8">
        <f t="shared" si="18"/>
        <v>1759.75788825002</v>
      </c>
      <c r="K19" s="8">
        <f t="shared" si="18"/>
        <v>1733.36151992627</v>
      </c>
      <c r="L19" s="8">
        <f t="shared" si="18"/>
        <v>1724.56273048502</v>
      </c>
      <c r="M19" s="8">
        <f t="shared" si="18"/>
        <v>1733.36151992627</v>
      </c>
      <c r="N19" s="8">
        <f t="shared" si="18"/>
        <v>1759.75788825002</v>
      </c>
      <c r="O19" s="8">
        <f t="shared" si="18"/>
        <v>1803.75183545627</v>
      </c>
      <c r="P19" s="8">
        <f t="shared" si="18"/>
        <v>1865.34336154502</v>
      </c>
      <c r="Q19" s="8">
        <f t="shared" si="18"/>
        <v>1944.53246651627</v>
      </c>
      <c r="R19" s="8">
        <f t="shared" si="18"/>
        <v>2041.31915037002</v>
      </c>
    </row>
    <row r="20" s="8" customFormat="1" spans="1:18">
      <c r="A20" s="8">
        <v>1.11101081524389e-10</v>
      </c>
      <c r="B20" s="8">
        <v>16680.1318865828</v>
      </c>
      <c r="C20" s="8">
        <v>221.550559175825</v>
      </c>
      <c r="D20" s="8">
        <v>-444863.924809123</v>
      </c>
      <c r="E20" s="6" t="s">
        <v>23</v>
      </c>
      <c r="F20" s="8">
        <f t="shared" si="1"/>
        <v>21262.585701578</v>
      </c>
      <c r="G20" s="8">
        <f t="shared" ref="G20:R20" si="19">$B20*(1+(1/13)+(((G$1-2018)^2)/(((2012-2018)^2)+((2013-2018)^2)+((2014-2018)^2)+((2015-2018)^2)+((2016-2018)^2)+((2017-2018)^2)+((2018-2018)^2)+((2019-2018)^2)+((2020-2018)^2)+((2021-2018)^2)+((2022-2018)^2)+((2023-2018)^2)+((2024-2018)^2))))</f>
        <v>20254.4458622791</v>
      </c>
      <c r="H20" s="8">
        <f t="shared" si="19"/>
        <v>19429.6041755799</v>
      </c>
      <c r="I20" s="8">
        <f t="shared" si="19"/>
        <v>18788.0606414806</v>
      </c>
      <c r="J20" s="8">
        <f t="shared" si="19"/>
        <v>18329.8152599811</v>
      </c>
      <c r="K20" s="8">
        <f t="shared" si="19"/>
        <v>18054.8680310813</v>
      </c>
      <c r="L20" s="8">
        <f t="shared" si="19"/>
        <v>17963.2189547814</v>
      </c>
      <c r="M20" s="8">
        <f t="shared" si="19"/>
        <v>18054.8680310813</v>
      </c>
      <c r="N20" s="8">
        <f t="shared" si="19"/>
        <v>18329.8152599811</v>
      </c>
      <c r="O20" s="8">
        <f t="shared" si="19"/>
        <v>18788.0606414806</v>
      </c>
      <c r="P20" s="8">
        <f t="shared" si="19"/>
        <v>19429.6041755799</v>
      </c>
      <c r="Q20" s="8">
        <f t="shared" si="19"/>
        <v>20254.4458622791</v>
      </c>
      <c r="R20" s="8">
        <f t="shared" si="19"/>
        <v>21262.585701578</v>
      </c>
    </row>
    <row r="21" s="8" customFormat="1" spans="1:18">
      <c r="A21" s="8">
        <v>1.40707299069566e-6</v>
      </c>
      <c r="B21" s="8">
        <v>135.283219175405</v>
      </c>
      <c r="C21" s="8">
        <v>8.08061532967038</v>
      </c>
      <c r="D21" s="8">
        <v>-16198.3751229671</v>
      </c>
      <c r="E21" s="6" t="s">
        <v>24</v>
      </c>
      <c r="F21" s="8">
        <f t="shared" si="1"/>
        <v>172.448938729087</v>
      </c>
      <c r="G21" s="8">
        <f t="shared" ref="G21:R21" si="20">$B21*(1+(1/13)+(((G$1-2018)^2)/(((2012-2018)^2)+((2013-2018)^2)+((2014-2018)^2)+((2015-2018)^2)+((2016-2018)^2)+((2017-2018)^2)+((2018-2018)^2)+((2019-2018)^2)+((2020-2018)^2)+((2021-2018)^2)+((2022-2018)^2)+((2023-2018)^2)+((2024-2018)^2))))</f>
        <v>164.272480427277</v>
      </c>
      <c r="H21" s="8">
        <f t="shared" si="20"/>
        <v>157.582650907614</v>
      </c>
      <c r="I21" s="8">
        <f t="shared" si="20"/>
        <v>152.379450170099</v>
      </c>
      <c r="J21" s="8">
        <f t="shared" si="20"/>
        <v>148.662878214731</v>
      </c>
      <c r="K21" s="8">
        <f t="shared" si="20"/>
        <v>146.43293504151</v>
      </c>
      <c r="L21" s="8">
        <f t="shared" si="20"/>
        <v>145.689620650436</v>
      </c>
      <c r="M21" s="8">
        <f t="shared" si="20"/>
        <v>146.43293504151</v>
      </c>
      <c r="N21" s="8">
        <f t="shared" si="20"/>
        <v>148.662878214731</v>
      </c>
      <c r="O21" s="8">
        <f t="shared" si="20"/>
        <v>152.379450170099</v>
      </c>
      <c r="P21" s="8">
        <f t="shared" si="20"/>
        <v>157.582650907614</v>
      </c>
      <c r="Q21" s="8">
        <f t="shared" si="20"/>
        <v>164.272480427277</v>
      </c>
      <c r="R21" s="8">
        <f t="shared" si="20"/>
        <v>172.448938729087</v>
      </c>
    </row>
    <row r="22" s="8" customFormat="1" spans="1:18">
      <c r="A22" s="8">
        <v>0.000372149433462566</v>
      </c>
      <c r="B22" s="8">
        <v>5.68294768483044</v>
      </c>
      <c r="C22" s="8">
        <v>0.892342637362641</v>
      </c>
      <c r="D22" s="8">
        <v>-1788.60045219781</v>
      </c>
      <c r="E22" s="6" t="s">
        <v>25</v>
      </c>
      <c r="F22" s="8">
        <f t="shared" si="1"/>
        <v>7.24419704879485</v>
      </c>
      <c r="G22" s="8">
        <f t="shared" ref="G22:R22" si="21">$B22*(1+(1/13)+(((G$1-2018)^2)/(((2012-2018)^2)+((2013-2018)^2)+((2014-2018)^2)+((2015-2018)^2)+((2016-2018)^2)+((2017-2018)^2)+((2018-2018)^2)+((2019-2018)^2)+((2020-2018)^2)+((2021-2018)^2)+((2022-2018)^2)+((2023-2018)^2)+((2024-2018)^2))))</f>
        <v>6.90072218872268</v>
      </c>
      <c r="H22" s="8">
        <f t="shared" si="21"/>
        <v>6.61969730320909</v>
      </c>
      <c r="I22" s="8">
        <f t="shared" si="21"/>
        <v>6.40112239225407</v>
      </c>
      <c r="J22" s="8">
        <f t="shared" si="21"/>
        <v>6.24499745585763</v>
      </c>
      <c r="K22" s="8">
        <f t="shared" si="21"/>
        <v>6.15132249401976</v>
      </c>
      <c r="L22" s="8">
        <f t="shared" si="21"/>
        <v>6.12009750674048</v>
      </c>
      <c r="M22" s="8">
        <f t="shared" si="21"/>
        <v>6.15132249401976</v>
      </c>
      <c r="N22" s="8">
        <f t="shared" si="21"/>
        <v>6.24499745585763</v>
      </c>
      <c r="O22" s="8">
        <f t="shared" si="21"/>
        <v>6.40112239225407</v>
      </c>
      <c r="P22" s="8">
        <f t="shared" si="21"/>
        <v>6.61969730320909</v>
      </c>
      <c r="Q22" s="8">
        <f t="shared" si="21"/>
        <v>6.90072218872268</v>
      </c>
      <c r="R22" s="8">
        <f t="shared" si="21"/>
        <v>7.24419704879485</v>
      </c>
    </row>
    <row r="23" s="8" customFormat="1" spans="1:18">
      <c r="A23" s="8">
        <v>2.92518480991293e-13</v>
      </c>
      <c r="B23" s="8">
        <v>144.835130708566</v>
      </c>
      <c r="C23" s="8">
        <v>35.6463747802199</v>
      </c>
      <c r="D23" s="8">
        <v>-71621.0693241762</v>
      </c>
      <c r="E23" s="6" t="s">
        <v>26</v>
      </c>
      <c r="F23" s="8">
        <f t="shared" si="1"/>
        <v>184.625001782347</v>
      </c>
      <c r="G23" s="8">
        <f t="shared" ref="G23:R23" si="22">$B23*(1+(1/13)+(((G$1-2018)^2)/(((2012-2018)^2)+((2013-2018)^2)+((2014-2018)^2)+((2015-2018)^2)+((2016-2018)^2)+((2017-2018)^2)+((2018-2018)^2)+((2019-2018)^2)+((2020-2018)^2)+((2021-2018)^2)+((2022-2018)^2)+((2023-2018)^2)+((2024-2018)^2))))</f>
        <v>175.871230146115</v>
      </c>
      <c r="H23" s="8">
        <f t="shared" si="22"/>
        <v>168.709053352835</v>
      </c>
      <c r="I23" s="8">
        <f t="shared" si="22"/>
        <v>163.138471402505</v>
      </c>
      <c r="J23" s="8">
        <f t="shared" si="22"/>
        <v>159.159484295127</v>
      </c>
      <c r="K23" s="8">
        <f t="shared" si="22"/>
        <v>156.7720920307</v>
      </c>
      <c r="L23" s="8">
        <f t="shared" si="22"/>
        <v>155.976294609224</v>
      </c>
      <c r="M23" s="8">
        <f t="shared" si="22"/>
        <v>156.7720920307</v>
      </c>
      <c r="N23" s="8">
        <f t="shared" si="22"/>
        <v>159.159484295127</v>
      </c>
      <c r="O23" s="8">
        <f t="shared" si="22"/>
        <v>163.138471402505</v>
      </c>
      <c r="P23" s="8">
        <f t="shared" si="22"/>
        <v>168.709053352835</v>
      </c>
      <c r="Q23" s="8">
        <f t="shared" si="22"/>
        <v>175.871230146115</v>
      </c>
      <c r="R23" s="8">
        <f t="shared" si="22"/>
        <v>184.625001782347</v>
      </c>
    </row>
    <row r="24" s="8" customFormat="1" spans="1:18">
      <c r="A24" s="8">
        <v>7.57270061936894e-12</v>
      </c>
      <c r="B24" s="8">
        <v>355.591044859102</v>
      </c>
      <c r="C24" s="8">
        <v>41.4451841758244</v>
      </c>
      <c r="D24" s="8">
        <v>-83277.0956637367</v>
      </c>
      <c r="E24" s="6" t="s">
        <v>27</v>
      </c>
      <c r="F24" s="8">
        <f t="shared" si="1"/>
        <v>453.280892347866</v>
      </c>
      <c r="G24" s="8">
        <f t="shared" ref="G24:R24" si="23">$B24*(1+(1/13)+(((G$1-2018)^2)/(((2012-2018)^2)+((2013-2018)^2)+((2014-2018)^2)+((2015-2018)^2)+((2016-2018)^2)+((2017-2018)^2)+((2018-2018)^2)+((2019-2018)^2)+((2020-2018)^2)+((2021-2018)^2)+((2022-2018)^2)+((2023-2018)^2)+((2024-2018)^2))))</f>
        <v>431.789125900338</v>
      </c>
      <c r="H24" s="8">
        <f t="shared" si="23"/>
        <v>414.20495335236</v>
      </c>
      <c r="I24" s="8">
        <f t="shared" si="23"/>
        <v>400.528374703933</v>
      </c>
      <c r="J24" s="8">
        <f t="shared" si="23"/>
        <v>390.759389955057</v>
      </c>
      <c r="K24" s="8">
        <f t="shared" si="23"/>
        <v>384.897999105731</v>
      </c>
      <c r="L24" s="8">
        <f t="shared" si="23"/>
        <v>382.944202155956</v>
      </c>
      <c r="M24" s="8">
        <f t="shared" si="23"/>
        <v>384.897999105731</v>
      </c>
      <c r="N24" s="8">
        <f t="shared" si="23"/>
        <v>390.759389955057</v>
      </c>
      <c r="O24" s="8">
        <f t="shared" si="23"/>
        <v>400.528374703933</v>
      </c>
      <c r="P24" s="8">
        <f t="shared" si="23"/>
        <v>414.20495335236</v>
      </c>
      <c r="Q24" s="8">
        <f t="shared" si="23"/>
        <v>431.789125900338</v>
      </c>
      <c r="R24" s="8">
        <f t="shared" si="23"/>
        <v>453.280892347866</v>
      </c>
    </row>
    <row r="25" s="8" customFormat="1" spans="1:18">
      <c r="A25" s="8">
        <v>1.01020867625074e-9</v>
      </c>
      <c r="B25" s="8">
        <v>49.3780849076106</v>
      </c>
      <c r="C25" s="8">
        <v>9.8162845604396</v>
      </c>
      <c r="D25" s="8">
        <v>-19727.8594883517</v>
      </c>
      <c r="E25" s="6" t="s">
        <v>28</v>
      </c>
      <c r="F25" s="8">
        <f t="shared" si="1"/>
        <v>62.9434928492618</v>
      </c>
      <c r="G25" s="8">
        <f t="shared" ref="G25:R25" si="24">$B25*(1+(1/13)+(((G$1-2018)^2)/(((2012-2018)^2)+((2013-2018)^2)+((2014-2018)^2)+((2015-2018)^2)+((2016-2018)^2)+((2017-2018)^2)+((2018-2018)^2)+((2019-2018)^2)+((2020-2018)^2)+((2021-2018)^2)+((2022-2018)^2)+((2023-2018)^2)+((2024-2018)^2))))</f>
        <v>59.9591031020985</v>
      </c>
      <c r="H25" s="8">
        <f t="shared" si="24"/>
        <v>57.5173296726013</v>
      </c>
      <c r="I25" s="8">
        <f t="shared" si="24"/>
        <v>55.6181725607701</v>
      </c>
      <c r="J25" s="8">
        <f t="shared" si="24"/>
        <v>54.261631766605</v>
      </c>
      <c r="K25" s="8">
        <f t="shared" si="24"/>
        <v>53.4477072901059</v>
      </c>
      <c r="L25" s="8">
        <f t="shared" si="24"/>
        <v>53.1763991312729</v>
      </c>
      <c r="M25" s="8">
        <f t="shared" si="24"/>
        <v>53.4477072901059</v>
      </c>
      <c r="N25" s="8">
        <f t="shared" si="24"/>
        <v>54.261631766605</v>
      </c>
      <c r="O25" s="8">
        <f t="shared" si="24"/>
        <v>55.6181725607701</v>
      </c>
      <c r="P25" s="8">
        <f t="shared" si="24"/>
        <v>57.5173296726013</v>
      </c>
      <c r="Q25" s="8">
        <f t="shared" si="24"/>
        <v>59.9591031020985</v>
      </c>
      <c r="R25" s="8">
        <f t="shared" si="24"/>
        <v>62.9434928492618</v>
      </c>
    </row>
    <row r="26" s="8" customFormat="1" spans="1:18">
      <c r="A26" s="8">
        <v>5.62960510169223e-10</v>
      </c>
      <c r="B26" s="8">
        <v>132.104913213008</v>
      </c>
      <c r="C26" s="8">
        <v>16.9569727472528</v>
      </c>
      <c r="D26" s="8">
        <v>-34099.3850278024</v>
      </c>
      <c r="E26" s="6" t="s">
        <v>29</v>
      </c>
      <c r="F26" s="8">
        <f t="shared" si="1"/>
        <v>168.397471788011</v>
      </c>
      <c r="G26" s="8">
        <f t="shared" ref="G26:R26" si="25">$B26*(1+(1/13)+(((G$1-2018)^2)/(((2012-2018)^2)+((2013-2018)^2)+((2014-2018)^2)+((2015-2018)^2)+((2016-2018)^2)+((2017-2018)^2)+((2018-2018)^2)+((2019-2018)^2)+((2020-2018)^2)+((2021-2018)^2)+((2022-2018)^2)+((2023-2018)^2)+((2024-2018)^2))))</f>
        <v>160.41310890151</v>
      </c>
      <c r="H26" s="8">
        <f t="shared" si="25"/>
        <v>153.88044835801</v>
      </c>
      <c r="I26" s="8">
        <f t="shared" si="25"/>
        <v>148.799490157509</v>
      </c>
      <c r="J26" s="8">
        <f t="shared" si="25"/>
        <v>145.170234300009</v>
      </c>
      <c r="K26" s="8">
        <f t="shared" si="25"/>
        <v>142.992680785509</v>
      </c>
      <c r="L26" s="8">
        <f t="shared" si="25"/>
        <v>142.266829614009</v>
      </c>
      <c r="M26" s="8">
        <f t="shared" si="25"/>
        <v>142.992680785509</v>
      </c>
      <c r="N26" s="8">
        <f t="shared" si="25"/>
        <v>145.170234300009</v>
      </c>
      <c r="O26" s="8">
        <f t="shared" si="25"/>
        <v>148.799490157509</v>
      </c>
      <c r="P26" s="8">
        <f t="shared" si="25"/>
        <v>153.88044835801</v>
      </c>
      <c r="Q26" s="8">
        <f t="shared" si="25"/>
        <v>160.41310890151</v>
      </c>
      <c r="R26" s="8">
        <f t="shared" si="25"/>
        <v>168.397471788011</v>
      </c>
    </row>
    <row r="27" s="8" customFormat="1" spans="1:18">
      <c r="A27" s="8">
        <v>0.00745780270429079</v>
      </c>
      <c r="B27" s="8">
        <v>0.236766040701898</v>
      </c>
      <c r="C27" s="8">
        <v>0.117962967032967</v>
      </c>
      <c r="D27" s="8">
        <v>-237.188032087911</v>
      </c>
      <c r="E27" s="6" t="s">
        <v>30</v>
      </c>
      <c r="F27" s="8">
        <f t="shared" si="1"/>
        <v>0.301811656279342</v>
      </c>
      <c r="G27" s="8">
        <f t="shared" ref="G27:R27" si="26">$B27*(1+(1/13)+(((G$1-2018)^2)/(((2012-2018)^2)+((2013-2018)^2)+((2014-2018)^2)+((2015-2018)^2)+((2016-2018)^2)+((2017-2018)^2)+((2018-2018)^2)+((2019-2018)^2)+((2020-2018)^2)+((2021-2018)^2)+((2022-2018)^2)+((2023-2018)^2)+((2024-2018)^2))))</f>
        <v>0.287501620852304</v>
      </c>
      <c r="H27" s="8">
        <f t="shared" si="26"/>
        <v>0.275793410048364</v>
      </c>
      <c r="I27" s="8">
        <f t="shared" si="26"/>
        <v>0.266687023867522</v>
      </c>
      <c r="J27" s="8">
        <f t="shared" si="26"/>
        <v>0.260182462309777</v>
      </c>
      <c r="K27" s="8">
        <f t="shared" si="26"/>
        <v>0.256279725375131</v>
      </c>
      <c r="L27" s="8">
        <f t="shared" si="26"/>
        <v>0.254978813063582</v>
      </c>
      <c r="M27" s="8">
        <f t="shared" si="26"/>
        <v>0.256279725375131</v>
      </c>
      <c r="N27" s="8">
        <f t="shared" si="26"/>
        <v>0.260182462309777</v>
      </c>
      <c r="O27" s="8">
        <f t="shared" si="26"/>
        <v>0.266687023867522</v>
      </c>
      <c r="P27" s="8">
        <f t="shared" si="26"/>
        <v>0.275793410048364</v>
      </c>
      <c r="Q27" s="8">
        <f t="shared" si="26"/>
        <v>0.287501620852304</v>
      </c>
      <c r="R27" s="8">
        <f t="shared" si="26"/>
        <v>0.301811656279342</v>
      </c>
    </row>
    <row r="28" s="8" customFormat="1" spans="1:18">
      <c r="A28" s="8">
        <v>4.41819394170477e-9</v>
      </c>
      <c r="B28" s="8">
        <v>382.819483772641</v>
      </c>
      <c r="C28" s="8">
        <v>23.796068846154</v>
      </c>
      <c r="D28" s="8">
        <v>-47777.7055423079</v>
      </c>
      <c r="E28" s="6" t="s">
        <v>31</v>
      </c>
      <c r="F28" s="8">
        <f t="shared" si="1"/>
        <v>487.989671622268</v>
      </c>
      <c r="G28" s="8">
        <f t="shared" ref="G28:R28" si="27">$B28*(1+(1/13)+(((G$1-2018)^2)/(((2012-2018)^2)+((2013-2018)^2)+((2014-2018)^2)+((2015-2018)^2)+((2016-2018)^2)+((2017-2018)^2)+((2018-2018)^2)+((2019-2018)^2)+((2020-2018)^2)+((2021-2018)^2)+((2022-2018)^2)+((2023-2018)^2)+((2024-2018)^2))))</f>
        <v>464.85223029535</v>
      </c>
      <c r="H28" s="8">
        <f t="shared" si="27"/>
        <v>445.921596482417</v>
      </c>
      <c r="I28" s="8">
        <f t="shared" si="27"/>
        <v>431.197770183469</v>
      </c>
      <c r="J28" s="8">
        <f t="shared" si="27"/>
        <v>420.680751398506</v>
      </c>
      <c r="K28" s="8">
        <f t="shared" si="27"/>
        <v>414.370540127529</v>
      </c>
      <c r="L28" s="8">
        <f t="shared" si="27"/>
        <v>412.267136370536</v>
      </c>
      <c r="M28" s="8">
        <f t="shared" si="27"/>
        <v>414.370540127529</v>
      </c>
      <c r="N28" s="8">
        <f t="shared" si="27"/>
        <v>420.680751398506</v>
      </c>
      <c r="O28" s="8">
        <f t="shared" si="27"/>
        <v>431.197770183469</v>
      </c>
      <c r="P28" s="8">
        <f t="shared" si="27"/>
        <v>445.921596482417</v>
      </c>
      <c r="Q28" s="8">
        <f t="shared" si="27"/>
        <v>464.85223029535</v>
      </c>
      <c r="R28" s="8">
        <f t="shared" si="27"/>
        <v>487.989671622268</v>
      </c>
    </row>
    <row r="29" s="8" customFormat="1" spans="1:18">
      <c r="A29" s="8">
        <v>7.90379163671498e-6</v>
      </c>
      <c r="B29" s="8">
        <v>38.0018683027881</v>
      </c>
      <c r="C29" s="8">
        <v>3.58284016483518</v>
      </c>
      <c r="D29" s="8">
        <v>-7175.08879956047</v>
      </c>
      <c r="E29" s="6" t="s">
        <v>32</v>
      </c>
      <c r="F29" s="8">
        <f t="shared" si="1"/>
        <v>48.4419420123453</v>
      </c>
      <c r="G29" s="8">
        <f t="shared" ref="G29:R29" si="28">$B29*(1+(1/13)+(((G$1-2018)^2)/(((2012-2018)^2)+((2013-2018)^2)+((2014-2018)^2)+((2015-2018)^2)+((2016-2018)^2)+((2017-2018)^2)+((2018-2018)^2)+((2019-2018)^2)+((2020-2018)^2)+((2021-2018)^2)+((2022-2018)^2)+((2023-2018)^2)+((2024-2018)^2))))</f>
        <v>46.1451257962427</v>
      </c>
      <c r="H29" s="8">
        <f t="shared" si="28"/>
        <v>44.2659125285224</v>
      </c>
      <c r="I29" s="8">
        <f t="shared" si="28"/>
        <v>42.8043022091844</v>
      </c>
      <c r="J29" s="8">
        <f t="shared" si="28"/>
        <v>41.7602948382287</v>
      </c>
      <c r="K29" s="8">
        <f t="shared" si="28"/>
        <v>41.1338904156553</v>
      </c>
      <c r="L29" s="8">
        <f t="shared" si="28"/>
        <v>40.9250889414641</v>
      </c>
      <c r="M29" s="8">
        <f t="shared" si="28"/>
        <v>41.1338904156553</v>
      </c>
      <c r="N29" s="8">
        <f t="shared" si="28"/>
        <v>41.7602948382287</v>
      </c>
      <c r="O29" s="8">
        <f t="shared" si="28"/>
        <v>42.8043022091844</v>
      </c>
      <c r="P29" s="8">
        <f t="shared" si="28"/>
        <v>44.2659125285224</v>
      </c>
      <c r="Q29" s="8">
        <f t="shared" si="28"/>
        <v>46.1451257962427</v>
      </c>
      <c r="R29" s="8">
        <f t="shared" si="28"/>
        <v>48.4419420123453</v>
      </c>
    </row>
    <row r="30" s="8" customFormat="1" spans="1:18">
      <c r="A30" s="8">
        <v>0.000717957437101877</v>
      </c>
      <c r="B30" s="8">
        <v>4.01002850146464</v>
      </c>
      <c r="C30" s="8">
        <v>0.688574230769235</v>
      </c>
      <c r="D30" s="8">
        <v>-1379.13143923078</v>
      </c>
      <c r="E30" s="6" t="s">
        <v>33</v>
      </c>
      <c r="F30" s="8">
        <f t="shared" si="1"/>
        <v>5.11168468318569</v>
      </c>
      <c r="G30" s="8">
        <f t="shared" ref="G30:R30" si="29">$B30*(1+(1/13)+(((G$1-2018)^2)/(((2012-2018)^2)+((2013-2018)^2)+((2014-2018)^2)+((2015-2018)^2)+((2016-2018)^2)+((2017-2018)^2)+((2018-2018)^2)+((2019-2018)^2)+((2020-2018)^2)+((2021-2018)^2)+((2022-2018)^2)+((2023-2018)^2)+((2024-2018)^2))))</f>
        <v>4.86932032320706</v>
      </c>
      <c r="H30" s="8">
        <f t="shared" si="29"/>
        <v>4.67102221049727</v>
      </c>
      <c r="I30" s="8">
        <f t="shared" si="29"/>
        <v>4.51679034505632</v>
      </c>
      <c r="J30" s="8">
        <f t="shared" si="29"/>
        <v>4.40662472688422</v>
      </c>
      <c r="K30" s="8">
        <f t="shared" si="29"/>
        <v>4.34052535598095</v>
      </c>
      <c r="L30" s="8">
        <f t="shared" si="29"/>
        <v>4.31849223234653</v>
      </c>
      <c r="M30" s="8">
        <f t="shared" si="29"/>
        <v>4.34052535598095</v>
      </c>
      <c r="N30" s="8">
        <f t="shared" si="29"/>
        <v>4.40662472688422</v>
      </c>
      <c r="O30" s="8">
        <f t="shared" si="29"/>
        <v>4.51679034505632</v>
      </c>
      <c r="P30" s="8">
        <f t="shared" si="29"/>
        <v>4.67102221049727</v>
      </c>
      <c r="Q30" s="8">
        <f t="shared" si="29"/>
        <v>4.86932032320706</v>
      </c>
      <c r="R30" s="8">
        <f t="shared" si="29"/>
        <v>5.11168468318569</v>
      </c>
    </row>
    <row r="31" s="8" customFormat="1" spans="1:18">
      <c r="A31" s="8">
        <v>6.64512494251822e-10</v>
      </c>
      <c r="B31" s="8">
        <v>11.5111831588687</v>
      </c>
      <c r="C31" s="8">
        <v>4.9286835714286</v>
      </c>
      <c r="D31" s="8">
        <v>-9908.02099406599</v>
      </c>
      <c r="E31" s="6" t="s">
        <v>34</v>
      </c>
      <c r="F31" s="8">
        <f t="shared" si="1"/>
        <v>14.6735961146018</v>
      </c>
      <c r="G31" s="8">
        <f t="shared" ref="G31:R31" si="30">$B31*(1+(1/13)+(((G$1-2018)^2)/(((2012-2018)^2)+((2013-2018)^2)+((2014-2018)^2)+((2015-2018)^2)+((2016-2018)^2)+((2017-2018)^2)+((2018-2018)^2)+((2019-2018)^2)+((2020-2018)^2)+((2021-2018)^2)+((2022-2018)^2)+((2023-2018)^2)+((2024-2018)^2))))</f>
        <v>13.9778652643405</v>
      </c>
      <c r="H31" s="8">
        <f t="shared" si="30"/>
        <v>13.4086309323086</v>
      </c>
      <c r="I31" s="8">
        <f t="shared" si="30"/>
        <v>12.9658931185059</v>
      </c>
      <c r="J31" s="8">
        <f t="shared" si="30"/>
        <v>12.6496518229326</v>
      </c>
      <c r="K31" s="8">
        <f t="shared" si="30"/>
        <v>12.4599070455886</v>
      </c>
      <c r="L31" s="8">
        <f t="shared" si="30"/>
        <v>12.396658786474</v>
      </c>
      <c r="M31" s="8">
        <f t="shared" si="30"/>
        <v>12.4599070455886</v>
      </c>
      <c r="N31" s="8">
        <f t="shared" si="30"/>
        <v>12.6496518229326</v>
      </c>
      <c r="O31" s="8">
        <f t="shared" si="30"/>
        <v>12.9658931185059</v>
      </c>
      <c r="P31" s="8">
        <f t="shared" si="30"/>
        <v>13.4086309323086</v>
      </c>
      <c r="Q31" s="8">
        <f t="shared" si="30"/>
        <v>13.9778652643405</v>
      </c>
      <c r="R31" s="8">
        <f t="shared" si="30"/>
        <v>14.6735961146018</v>
      </c>
    </row>
    <row r="32" s="8" customFormat="1" spans="1:18">
      <c r="A32" s="8">
        <v>5.26280096478464e-5</v>
      </c>
      <c r="B32" s="8">
        <v>87.3650195666056</v>
      </c>
      <c r="C32" s="8">
        <v>4.41653148351651</v>
      </c>
      <c r="D32" s="8">
        <v>-8864.14182758248</v>
      </c>
      <c r="E32" s="6" t="s">
        <v>35</v>
      </c>
      <c r="F32" s="8">
        <f t="shared" si="1"/>
        <v>111.36639856842</v>
      </c>
      <c r="G32" s="8">
        <f t="shared" ref="G32:R32" si="31">$B32*(1+(1/13)+(((G$1-2018)^2)/(((2012-2018)^2)+((2013-2018)^2)+((2014-2018)^2)+((2015-2018)^2)+((2016-2018)^2)+((2017-2018)^2)+((2018-2018)^2)+((2019-2018)^2)+((2020-2018)^2)+((2021-2018)^2)+((2022-2018)^2)+((2023-2018)^2)+((2024-2018)^2))))</f>
        <v>106.086095188021</v>
      </c>
      <c r="H32" s="8">
        <f t="shared" si="31"/>
        <v>101.765846967694</v>
      </c>
      <c r="I32" s="8">
        <f t="shared" si="31"/>
        <v>98.4056539074404</v>
      </c>
      <c r="J32" s="8">
        <f t="shared" si="31"/>
        <v>96.0055160072589</v>
      </c>
      <c r="K32" s="8">
        <f t="shared" si="31"/>
        <v>94.56543326715</v>
      </c>
      <c r="L32" s="8">
        <f t="shared" si="31"/>
        <v>94.0854056871137</v>
      </c>
      <c r="M32" s="8">
        <f t="shared" si="31"/>
        <v>94.56543326715</v>
      </c>
      <c r="N32" s="8">
        <f t="shared" si="31"/>
        <v>96.0055160072589</v>
      </c>
      <c r="O32" s="8">
        <f t="shared" si="31"/>
        <v>98.4056539074404</v>
      </c>
      <c r="P32" s="8">
        <f t="shared" si="31"/>
        <v>101.765846967694</v>
      </c>
      <c r="Q32" s="8">
        <f t="shared" si="31"/>
        <v>106.086095188021</v>
      </c>
      <c r="R32" s="8">
        <f t="shared" si="31"/>
        <v>111.36639856842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opLeftCell="A7" workbookViewId="0">
      <selection activeCell="A30" sqref="A30"/>
    </sheetView>
  </sheetViews>
  <sheetFormatPr defaultColWidth="8.88888888888889" defaultRowHeight="14.4"/>
  <cols>
    <col min="1" max="1" width="15.712962962963" style="8" customWidth="1"/>
    <col min="2" max="2" width="11.712962962963" style="8" customWidth="1"/>
    <col min="3" max="4" width="12.3796296296296" style="8" customWidth="1"/>
    <col min="5" max="5" width="9" style="8"/>
    <col min="6" max="18" width="12.8888888888889" style="8"/>
  </cols>
  <sheetData>
    <row r="1" spans="1:18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9">
        <v>2012</v>
      </c>
      <c r="G1" s="9">
        <v>2013</v>
      </c>
      <c r="H1" s="9">
        <v>2014</v>
      </c>
      <c r="I1" s="9">
        <v>2015</v>
      </c>
      <c r="J1" s="9">
        <v>2016</v>
      </c>
      <c r="K1" s="9">
        <v>2017</v>
      </c>
      <c r="L1" s="9">
        <v>2018</v>
      </c>
      <c r="M1" s="9">
        <v>2019</v>
      </c>
      <c r="N1" s="9">
        <v>2020</v>
      </c>
      <c r="O1" s="9">
        <v>2021</v>
      </c>
      <c r="P1" s="9">
        <v>2022</v>
      </c>
      <c r="Q1" s="9">
        <v>2023</v>
      </c>
      <c r="R1" s="9">
        <v>2024</v>
      </c>
    </row>
    <row r="2" spans="1:18">
      <c r="A2" s="10">
        <v>0.887134900412675</v>
      </c>
      <c r="B2" s="8">
        <v>0.481667640017133</v>
      </c>
      <c r="C2" s="8">
        <v>0.00747269230769369</v>
      </c>
      <c r="D2" s="8">
        <v>-9.84178923077203</v>
      </c>
      <c r="E2" s="6" t="s">
        <v>5</v>
      </c>
      <c r="F2" s="8">
        <f>$B2*(1+(1/13)+(((F$1-2018)^2)/(((2012-2018)^2)+((2013-2018)^2)+((2014-2018)^2)+((2015-2018)^2)+((2016-2018)^2)+((2017-2018)^2)+((2018-2018)^2)+((2019-2018)^2)+((2020-2018)^2)+((2021-2018)^2)+((2022-2018)^2)+((2023-2018)^2)+((2024-2018)^2))))</f>
        <v>0.613993914747114</v>
      </c>
      <c r="G2" s="8">
        <f t="shared" ref="G2:R2" si="0">$B2*(1+(1/13)+(((G$1-2018)^2)/(((2012-2018)^2)+((2013-2018)^2)+((2014-2018)^2)+((2015-2018)^2)+((2016-2018)^2)+((2017-2018)^2)+((2018-2018)^2)+((2019-2018)^2)+((2020-2018)^2)+((2021-2018)^2)+((2022-2018)^2)+((2023-2018)^2)+((2024-2018)^2))))</f>
        <v>0.584882134306518</v>
      </c>
      <c r="H2" s="8">
        <f t="shared" si="0"/>
        <v>0.561063404855122</v>
      </c>
      <c r="I2" s="8">
        <f t="shared" si="0"/>
        <v>0.542537726392924</v>
      </c>
      <c r="J2" s="8">
        <f t="shared" si="0"/>
        <v>0.529305098919926</v>
      </c>
      <c r="K2" s="8">
        <f t="shared" si="0"/>
        <v>0.521365522436127</v>
      </c>
      <c r="L2" s="8">
        <f t="shared" si="0"/>
        <v>0.518718996941527</v>
      </c>
      <c r="M2" s="8">
        <f t="shared" si="0"/>
        <v>0.521365522436127</v>
      </c>
      <c r="N2" s="8">
        <f t="shared" si="0"/>
        <v>0.529305098919926</v>
      </c>
      <c r="O2" s="8">
        <f t="shared" si="0"/>
        <v>0.542537726392924</v>
      </c>
      <c r="P2" s="8">
        <f t="shared" si="0"/>
        <v>0.561063404855122</v>
      </c>
      <c r="Q2" s="8">
        <f t="shared" si="0"/>
        <v>0.584882134306518</v>
      </c>
      <c r="R2" s="8">
        <f t="shared" si="0"/>
        <v>0.613993914747114</v>
      </c>
    </row>
    <row r="3" spans="1:18">
      <c r="A3" s="8">
        <v>0.0367983890704346</v>
      </c>
      <c r="B3" s="8">
        <v>1.2158669208895</v>
      </c>
      <c r="C3" s="8">
        <v>-0.194153846153848</v>
      </c>
      <c r="D3" s="8">
        <v>397.881104615389</v>
      </c>
      <c r="E3" s="6" t="s">
        <v>6</v>
      </c>
      <c r="F3" s="8">
        <f t="shared" ref="F3:F32" si="1">$B3*(1+(1/13)+(((F$1-2018)^2)/(((2012-2018)^2)+((2013-2018)^2)+((2014-2018)^2)+((2015-2018)^2)+((2016-2018)^2)+((2017-2018)^2)+((2018-2018)^2)+((2019-2018)^2)+((2020-2018)^2)+((2021-2018)^2)+((2022-2018)^2)+((2023-2018)^2)+((2024-2018)^2))))</f>
        <v>1.54989629476024</v>
      </c>
      <c r="G3" s="8">
        <f t="shared" ref="G3:G32" si="2">$B3*(1+(1/13)+(((G$1-2018)^2)/(((2012-2018)^2)+((2013-2018)^2)+((2014-2018)^2)+((2015-2018)^2)+((2016-2018)^2)+((2017-2018)^2)+((2018-2018)^2)+((2019-2018)^2)+((2020-2018)^2)+((2021-2018)^2)+((2022-2018)^2)+((2023-2018)^2)+((2024-2018)^2))))</f>
        <v>1.47640983250868</v>
      </c>
      <c r="H3" s="8">
        <f t="shared" ref="H3:H32" si="3">$B3*(1+(1/13)+(((H$1-2018)^2)/(((2012-2018)^2)+((2013-2018)^2)+((2014-2018)^2)+((2015-2018)^2)+((2016-2018)^2)+((2017-2018)^2)+((2018-2018)^2)+((2019-2018)^2)+((2020-2018)^2)+((2021-2018)^2)+((2022-2018)^2)+((2023-2018)^2)+((2024-2018)^2))))</f>
        <v>1.41628454521195</v>
      </c>
      <c r="I3" s="8">
        <f t="shared" ref="I3:I32" si="4">$B3*(1+(1/13)+(((I$1-2018)^2)/(((2012-2018)^2)+((2013-2018)^2)+((2014-2018)^2)+((2015-2018)^2)+((2016-2018)^2)+((2017-2018)^2)+((2018-2018)^2)+((2019-2018)^2)+((2020-2018)^2)+((2021-2018)^2)+((2022-2018)^2)+((2023-2018)^2)+((2024-2018)^2))))</f>
        <v>1.36952043287004</v>
      </c>
      <c r="J3" s="8">
        <f t="shared" ref="J3:J32" si="5">$B3*(1+(1/13)+(((J$1-2018)^2)/(((2012-2018)^2)+((2013-2018)^2)+((2014-2018)^2)+((2015-2018)^2)+((2016-2018)^2)+((2017-2018)^2)+((2018-2018)^2)+((2019-2018)^2)+((2020-2018)^2)+((2021-2018)^2)+((2022-2018)^2)+((2023-2018)^2)+((2024-2018)^2))))</f>
        <v>1.33611749548297</v>
      </c>
      <c r="K3" s="8">
        <f t="shared" ref="K3:K32" si="6">$B3*(1+(1/13)+(((K$1-2018)^2)/(((2012-2018)^2)+((2013-2018)^2)+((2014-2018)^2)+((2015-2018)^2)+((2016-2018)^2)+((2017-2018)^2)+((2018-2018)^2)+((2019-2018)^2)+((2020-2018)^2)+((2021-2018)^2)+((2022-2018)^2)+((2023-2018)^2)+((2024-2018)^2))))</f>
        <v>1.31607573305072</v>
      </c>
      <c r="L3" s="8">
        <f t="shared" ref="L3:L32" si="7">$B3*(1+(1/13)+(((L$1-2018)^2)/(((2012-2018)^2)+((2013-2018)^2)+((2014-2018)^2)+((2015-2018)^2)+((2016-2018)^2)+((2017-2018)^2)+((2018-2018)^2)+((2019-2018)^2)+((2020-2018)^2)+((2021-2018)^2)+((2022-2018)^2)+((2023-2018)^2)+((2024-2018)^2))))</f>
        <v>1.30939514557331</v>
      </c>
      <c r="M3" s="8">
        <f t="shared" ref="M3:M32" si="8">$B3*(1+(1/13)+(((M$1-2018)^2)/(((2012-2018)^2)+((2013-2018)^2)+((2014-2018)^2)+((2015-2018)^2)+((2016-2018)^2)+((2017-2018)^2)+((2018-2018)^2)+((2019-2018)^2)+((2020-2018)^2)+((2021-2018)^2)+((2022-2018)^2)+((2023-2018)^2)+((2024-2018)^2))))</f>
        <v>1.31607573305072</v>
      </c>
      <c r="N3" s="8">
        <f t="shared" ref="N3:N32" si="9">$B3*(1+(1/13)+(((N$1-2018)^2)/(((2012-2018)^2)+((2013-2018)^2)+((2014-2018)^2)+((2015-2018)^2)+((2016-2018)^2)+((2017-2018)^2)+((2018-2018)^2)+((2019-2018)^2)+((2020-2018)^2)+((2021-2018)^2)+((2022-2018)^2)+((2023-2018)^2)+((2024-2018)^2))))</f>
        <v>1.33611749548297</v>
      </c>
      <c r="O3" s="8">
        <f t="shared" ref="O3:O32" si="10">$B3*(1+(1/13)+(((O$1-2018)^2)/(((2012-2018)^2)+((2013-2018)^2)+((2014-2018)^2)+((2015-2018)^2)+((2016-2018)^2)+((2017-2018)^2)+((2018-2018)^2)+((2019-2018)^2)+((2020-2018)^2)+((2021-2018)^2)+((2022-2018)^2)+((2023-2018)^2)+((2024-2018)^2))))</f>
        <v>1.36952043287004</v>
      </c>
      <c r="P3" s="8">
        <f t="shared" ref="P3:P32" si="11">$B3*(1+(1/13)+(((P$1-2018)^2)/(((2012-2018)^2)+((2013-2018)^2)+((2014-2018)^2)+((2015-2018)^2)+((2016-2018)^2)+((2017-2018)^2)+((2018-2018)^2)+((2019-2018)^2)+((2020-2018)^2)+((2021-2018)^2)+((2022-2018)^2)+((2023-2018)^2)+((2024-2018)^2))))</f>
        <v>1.41628454521195</v>
      </c>
      <c r="Q3" s="8">
        <f t="shared" ref="Q3:Q32" si="12">$B3*(1+(1/13)+(((Q$1-2018)^2)/(((2012-2018)^2)+((2013-2018)^2)+((2014-2018)^2)+((2015-2018)^2)+((2016-2018)^2)+((2017-2018)^2)+((2018-2018)^2)+((2019-2018)^2)+((2020-2018)^2)+((2021-2018)^2)+((2022-2018)^2)+((2023-2018)^2)+((2024-2018)^2))))</f>
        <v>1.47640983250868</v>
      </c>
      <c r="R3" s="8">
        <f t="shared" ref="R3:R32" si="13">$B3*(1+(1/13)+(((R$1-2018)^2)/(((2012-2018)^2)+((2013-2018)^2)+((2014-2018)^2)+((2015-2018)^2)+((2016-2018)^2)+((2017-2018)^2)+((2018-2018)^2)+((2019-2018)^2)+((2020-2018)^2)+((2021-2018)^2)+((2022-2018)^2)+((2023-2018)^2)+((2024-2018)^2))))</f>
        <v>1.54989629476024</v>
      </c>
    </row>
    <row r="4" spans="1:18">
      <c r="A4" s="8">
        <v>0.000189566905184354</v>
      </c>
      <c r="B4" s="8">
        <v>1.64907593789539</v>
      </c>
      <c r="C4" s="8">
        <v>0.522417307692312</v>
      </c>
      <c r="D4" s="8">
        <v>-1045.56720846155</v>
      </c>
      <c r="E4" s="6" t="s">
        <v>7</v>
      </c>
      <c r="F4" s="8">
        <f t="shared" si="1"/>
        <v>2.10211877797654</v>
      </c>
      <c r="G4" s="8">
        <f t="shared" si="2"/>
        <v>2.00244935315869</v>
      </c>
      <c r="H4" s="8">
        <f t="shared" si="3"/>
        <v>1.92090164194408</v>
      </c>
      <c r="I4" s="8">
        <f t="shared" si="4"/>
        <v>1.85747564433272</v>
      </c>
      <c r="J4" s="8">
        <f t="shared" si="5"/>
        <v>1.8121713603246</v>
      </c>
      <c r="K4" s="8">
        <f t="shared" si="6"/>
        <v>1.78498878991973</v>
      </c>
      <c r="L4" s="8">
        <f t="shared" si="7"/>
        <v>1.77592793311811</v>
      </c>
      <c r="M4" s="8">
        <f t="shared" si="8"/>
        <v>1.78498878991973</v>
      </c>
      <c r="N4" s="8">
        <f t="shared" si="9"/>
        <v>1.8121713603246</v>
      </c>
      <c r="O4" s="8">
        <f t="shared" si="10"/>
        <v>1.85747564433272</v>
      </c>
      <c r="P4" s="8">
        <f t="shared" si="11"/>
        <v>1.92090164194408</v>
      </c>
      <c r="Q4" s="8">
        <f t="shared" si="12"/>
        <v>2.00244935315869</v>
      </c>
      <c r="R4" s="8">
        <f t="shared" si="13"/>
        <v>2.10211877797654</v>
      </c>
    </row>
    <row r="5" spans="1:18">
      <c r="A5" s="8">
        <v>0.0369964661577646</v>
      </c>
      <c r="B5" s="8">
        <v>0.185904889644755</v>
      </c>
      <c r="C5" s="8">
        <v>0.0758215384615391</v>
      </c>
      <c r="D5" s="8">
        <v>-149.640649230771</v>
      </c>
      <c r="E5" s="6" t="s">
        <v>8</v>
      </c>
      <c r="F5" s="8">
        <f t="shared" si="1"/>
        <v>0.236977661525182</v>
      </c>
      <c r="G5" s="8">
        <f t="shared" si="2"/>
        <v>0.225741651711488</v>
      </c>
      <c r="H5" s="8">
        <f t="shared" si="3"/>
        <v>0.216548552773011</v>
      </c>
      <c r="I5" s="8">
        <f t="shared" si="4"/>
        <v>0.209398364709751</v>
      </c>
      <c r="J5" s="8">
        <f t="shared" si="5"/>
        <v>0.204291087521708</v>
      </c>
      <c r="K5" s="8">
        <f t="shared" si="6"/>
        <v>0.201226721208883</v>
      </c>
      <c r="L5" s="8">
        <f t="shared" si="7"/>
        <v>0.200205265771274</v>
      </c>
      <c r="M5" s="8">
        <f t="shared" si="8"/>
        <v>0.201226721208883</v>
      </c>
      <c r="N5" s="8">
        <f t="shared" si="9"/>
        <v>0.204291087521708</v>
      </c>
      <c r="O5" s="8">
        <f t="shared" si="10"/>
        <v>0.209398364709751</v>
      </c>
      <c r="P5" s="8">
        <f t="shared" si="11"/>
        <v>0.216548552773011</v>
      </c>
      <c r="Q5" s="8">
        <f t="shared" si="12"/>
        <v>0.225741651711488</v>
      </c>
      <c r="R5" s="8">
        <f t="shared" si="13"/>
        <v>0.236977661525182</v>
      </c>
    </row>
    <row r="6" spans="1:18">
      <c r="A6" s="10">
        <v>0.835562936471702</v>
      </c>
      <c r="B6" s="8">
        <v>0.380883436643956</v>
      </c>
      <c r="C6" s="8">
        <v>-0.00972362637362557</v>
      </c>
      <c r="D6" s="8">
        <v>21.9816949450533</v>
      </c>
      <c r="E6" s="6" t="s">
        <v>9</v>
      </c>
      <c r="F6" s="8">
        <f t="shared" si="1"/>
        <v>0.485521743414274</v>
      </c>
      <c r="G6" s="8">
        <f t="shared" si="2"/>
        <v>0.462501315924804</v>
      </c>
      <c r="H6" s="8">
        <f t="shared" si="3"/>
        <v>0.443666420706147</v>
      </c>
      <c r="I6" s="8">
        <f t="shared" si="4"/>
        <v>0.429017057758302</v>
      </c>
      <c r="J6" s="8">
        <f t="shared" si="5"/>
        <v>0.41855322708127</v>
      </c>
      <c r="K6" s="8">
        <f t="shared" si="6"/>
        <v>0.412274928675051</v>
      </c>
      <c r="L6" s="8">
        <f t="shared" si="7"/>
        <v>0.410182162539645</v>
      </c>
      <c r="M6" s="8">
        <f t="shared" si="8"/>
        <v>0.412274928675051</v>
      </c>
      <c r="N6" s="8">
        <f t="shared" si="9"/>
        <v>0.41855322708127</v>
      </c>
      <c r="O6" s="8">
        <f t="shared" si="10"/>
        <v>0.429017057758302</v>
      </c>
      <c r="P6" s="8">
        <f t="shared" si="11"/>
        <v>0.443666420706147</v>
      </c>
      <c r="Q6" s="8">
        <f t="shared" si="12"/>
        <v>0.462501315924804</v>
      </c>
      <c r="R6" s="8">
        <f t="shared" si="13"/>
        <v>0.485521743414274</v>
      </c>
    </row>
    <row r="7" spans="1:18">
      <c r="A7" s="8">
        <v>0.0139796049814864</v>
      </c>
      <c r="B7" s="8">
        <v>0.4001806769115</v>
      </c>
      <c r="C7" s="8">
        <v>0.136843516483517</v>
      </c>
      <c r="D7" s="8">
        <v>-270.31594934066</v>
      </c>
      <c r="E7" s="6" t="s">
        <v>10</v>
      </c>
      <c r="F7" s="8">
        <f t="shared" si="1"/>
        <v>0.510120423315759</v>
      </c>
      <c r="G7" s="8">
        <f t="shared" si="2"/>
        <v>0.485933679106822</v>
      </c>
      <c r="H7" s="8">
        <f t="shared" si="3"/>
        <v>0.466144524754055</v>
      </c>
      <c r="I7" s="8">
        <f t="shared" si="4"/>
        <v>0.450752960257459</v>
      </c>
      <c r="J7" s="8">
        <f t="shared" si="5"/>
        <v>0.439758985617033</v>
      </c>
      <c r="K7" s="8">
        <f t="shared" si="6"/>
        <v>0.433162600832778</v>
      </c>
      <c r="L7" s="8">
        <f t="shared" si="7"/>
        <v>0.430963805904693</v>
      </c>
      <c r="M7" s="8">
        <f t="shared" si="8"/>
        <v>0.433162600832778</v>
      </c>
      <c r="N7" s="8">
        <f t="shared" si="9"/>
        <v>0.439758985617033</v>
      </c>
      <c r="O7" s="8">
        <f t="shared" si="10"/>
        <v>0.450752960257459</v>
      </c>
      <c r="P7" s="8">
        <f t="shared" si="11"/>
        <v>0.466144524754055</v>
      </c>
      <c r="Q7" s="8">
        <f t="shared" si="12"/>
        <v>0.485933679106822</v>
      </c>
      <c r="R7" s="8">
        <f t="shared" si="13"/>
        <v>0.510120423315759</v>
      </c>
    </row>
    <row r="8" spans="1:18">
      <c r="A8" s="8">
        <v>0.00399551082957832</v>
      </c>
      <c r="B8" s="8">
        <v>0.133063460261892</v>
      </c>
      <c r="C8" s="8">
        <v>-0.098001153846154</v>
      </c>
      <c r="D8" s="8">
        <v>199.601913076923</v>
      </c>
      <c r="E8" s="6" t="s">
        <v>11</v>
      </c>
      <c r="F8" s="8">
        <f t="shared" si="1"/>
        <v>0.169619355938236</v>
      </c>
      <c r="G8" s="8">
        <f t="shared" si="2"/>
        <v>0.16157705888944</v>
      </c>
      <c r="H8" s="8">
        <f t="shared" si="3"/>
        <v>0.154996997667698</v>
      </c>
      <c r="I8" s="8">
        <f t="shared" si="4"/>
        <v>0.14987917227301</v>
      </c>
      <c r="J8" s="8">
        <f t="shared" si="5"/>
        <v>0.146223582705376</v>
      </c>
      <c r="K8" s="8">
        <f t="shared" si="6"/>
        <v>0.144030228964795</v>
      </c>
      <c r="L8" s="8">
        <f t="shared" si="7"/>
        <v>0.143299111051268</v>
      </c>
      <c r="M8" s="8">
        <f t="shared" si="8"/>
        <v>0.144030228964795</v>
      </c>
      <c r="N8" s="8">
        <f t="shared" si="9"/>
        <v>0.146223582705376</v>
      </c>
      <c r="O8" s="8">
        <f t="shared" si="10"/>
        <v>0.14987917227301</v>
      </c>
      <c r="P8" s="8">
        <f t="shared" si="11"/>
        <v>0.154996997667698</v>
      </c>
      <c r="Q8" s="8">
        <f t="shared" si="12"/>
        <v>0.16157705888944</v>
      </c>
      <c r="R8" s="8">
        <f t="shared" si="13"/>
        <v>0.169619355938236</v>
      </c>
    </row>
    <row r="9" spans="1:18">
      <c r="A9" s="8">
        <v>0.0176209022676504</v>
      </c>
      <c r="B9" s="8">
        <v>0.564462996767627</v>
      </c>
      <c r="C9" s="8">
        <v>-0.155316043956043</v>
      </c>
      <c r="D9" s="8">
        <v>315.948095934065</v>
      </c>
      <c r="E9" s="6" t="s">
        <v>12</v>
      </c>
      <c r="F9" s="8">
        <f t="shared" si="1"/>
        <v>0.719535248626866</v>
      </c>
      <c r="G9" s="8">
        <f t="shared" si="2"/>
        <v>0.685419353217833</v>
      </c>
      <c r="H9" s="8">
        <f t="shared" si="3"/>
        <v>0.65750634788317</v>
      </c>
      <c r="I9" s="8">
        <f t="shared" si="4"/>
        <v>0.635796232622877</v>
      </c>
      <c r="J9" s="8">
        <f t="shared" si="5"/>
        <v>0.620289007436953</v>
      </c>
      <c r="K9" s="8">
        <f t="shared" si="6"/>
        <v>0.610984672325399</v>
      </c>
      <c r="L9" s="8">
        <f t="shared" si="7"/>
        <v>0.607883227288214</v>
      </c>
      <c r="M9" s="8">
        <f t="shared" si="8"/>
        <v>0.610984672325399</v>
      </c>
      <c r="N9" s="8">
        <f t="shared" si="9"/>
        <v>0.620289007436953</v>
      </c>
      <c r="O9" s="8">
        <f t="shared" si="10"/>
        <v>0.635796232622877</v>
      </c>
      <c r="P9" s="8">
        <f t="shared" si="11"/>
        <v>0.65750634788317</v>
      </c>
      <c r="Q9" s="8">
        <f t="shared" si="12"/>
        <v>0.685419353217833</v>
      </c>
      <c r="R9" s="8">
        <f t="shared" si="13"/>
        <v>0.719535248626866</v>
      </c>
    </row>
    <row r="10" spans="1:18">
      <c r="A10" s="8">
        <v>0.0246191334680657</v>
      </c>
      <c r="B10" s="8">
        <v>0.77022056778981</v>
      </c>
      <c r="C10" s="8">
        <v>0.169250329670331</v>
      </c>
      <c r="D10" s="8">
        <v>-332.066149120881</v>
      </c>
      <c r="E10" s="6" t="s">
        <v>13</v>
      </c>
      <c r="F10" s="8">
        <f t="shared" si="1"/>
        <v>0.981819624874922</v>
      </c>
      <c r="G10" s="8">
        <f t="shared" si="2"/>
        <v>0.935267832316197</v>
      </c>
      <c r="H10" s="8">
        <f t="shared" si="3"/>
        <v>0.897180002040877</v>
      </c>
      <c r="I10" s="8">
        <f t="shared" si="4"/>
        <v>0.867556134048961</v>
      </c>
      <c r="J10" s="8">
        <f t="shared" si="5"/>
        <v>0.84639622834045</v>
      </c>
      <c r="K10" s="8">
        <f t="shared" si="6"/>
        <v>0.833700284915343</v>
      </c>
      <c r="L10" s="8">
        <f t="shared" si="7"/>
        <v>0.829468303773641</v>
      </c>
      <c r="M10" s="8">
        <f t="shared" si="8"/>
        <v>0.833700284915343</v>
      </c>
      <c r="N10" s="8">
        <f t="shared" si="9"/>
        <v>0.84639622834045</v>
      </c>
      <c r="O10" s="8">
        <f t="shared" si="10"/>
        <v>0.867556134048961</v>
      </c>
      <c r="P10" s="8">
        <f t="shared" si="11"/>
        <v>0.897180002040877</v>
      </c>
      <c r="Q10" s="8">
        <f t="shared" si="12"/>
        <v>0.935267832316197</v>
      </c>
      <c r="R10" s="8">
        <f t="shared" si="13"/>
        <v>0.981819624874922</v>
      </c>
    </row>
    <row r="11" spans="1:18">
      <c r="A11" s="8">
        <v>2.04995927368121e-7</v>
      </c>
      <c r="B11" s="8">
        <v>14.4136024587113</v>
      </c>
      <c r="C11" s="8">
        <v>3.19524291208793</v>
      </c>
      <c r="D11" s="8">
        <v>-6395.99903505498</v>
      </c>
      <c r="E11" s="6" t="s">
        <v>14</v>
      </c>
      <c r="F11" s="8">
        <f t="shared" si="1"/>
        <v>18.3733833539617</v>
      </c>
      <c r="G11" s="8">
        <f t="shared" si="2"/>
        <v>17.5022315570066</v>
      </c>
      <c r="H11" s="8">
        <f t="shared" si="3"/>
        <v>16.7894709958615</v>
      </c>
      <c r="I11" s="8">
        <f t="shared" si="4"/>
        <v>16.2351016705265</v>
      </c>
      <c r="J11" s="8">
        <f t="shared" si="5"/>
        <v>15.8391235810015</v>
      </c>
      <c r="K11" s="8">
        <f t="shared" si="6"/>
        <v>15.6015367272864</v>
      </c>
      <c r="L11" s="8">
        <f t="shared" si="7"/>
        <v>15.5223411093814</v>
      </c>
      <c r="M11" s="8">
        <f t="shared" si="8"/>
        <v>15.6015367272864</v>
      </c>
      <c r="N11" s="8">
        <f t="shared" si="9"/>
        <v>15.8391235810015</v>
      </c>
      <c r="O11" s="8">
        <f t="shared" si="10"/>
        <v>16.2351016705265</v>
      </c>
      <c r="P11" s="8">
        <f t="shared" si="11"/>
        <v>16.7894709958615</v>
      </c>
      <c r="Q11" s="8">
        <f t="shared" si="12"/>
        <v>17.5022315570066</v>
      </c>
      <c r="R11" s="8">
        <f t="shared" si="13"/>
        <v>18.3733833539617</v>
      </c>
    </row>
    <row r="12" spans="1:18">
      <c r="A12" s="8">
        <v>1.75035480855401e-8</v>
      </c>
      <c r="B12" s="8">
        <v>10.5870759172548</v>
      </c>
      <c r="C12" s="8">
        <v>3.47303093406595</v>
      </c>
      <c r="D12" s="8">
        <v>-6967.15589340664</v>
      </c>
      <c r="E12" s="6" t="s">
        <v>15</v>
      </c>
      <c r="F12" s="8">
        <f t="shared" si="1"/>
        <v>13.4956132571599</v>
      </c>
      <c r="G12" s="8">
        <f t="shared" si="2"/>
        <v>12.8557350423808</v>
      </c>
      <c r="H12" s="8">
        <f t="shared" si="3"/>
        <v>12.3321983211979</v>
      </c>
      <c r="I12" s="8">
        <f t="shared" si="4"/>
        <v>11.9250030936112</v>
      </c>
      <c r="J12" s="8">
        <f t="shared" si="5"/>
        <v>11.6341493596206</v>
      </c>
      <c r="K12" s="8">
        <f t="shared" si="6"/>
        <v>11.4596371192263</v>
      </c>
      <c r="L12" s="8">
        <f t="shared" si="7"/>
        <v>11.4014663724282</v>
      </c>
      <c r="M12" s="8">
        <f t="shared" si="8"/>
        <v>11.4596371192263</v>
      </c>
      <c r="N12" s="8">
        <f t="shared" si="9"/>
        <v>11.6341493596206</v>
      </c>
      <c r="O12" s="8">
        <f t="shared" si="10"/>
        <v>11.9250030936112</v>
      </c>
      <c r="P12" s="8">
        <f t="shared" si="11"/>
        <v>12.3321983211979</v>
      </c>
      <c r="Q12" s="8">
        <f t="shared" si="12"/>
        <v>12.8557350423808</v>
      </c>
      <c r="R12" s="8">
        <f t="shared" si="13"/>
        <v>13.4956132571599</v>
      </c>
    </row>
    <row r="13" spans="1:18">
      <c r="A13" s="8">
        <v>2.48857292275833e-7</v>
      </c>
      <c r="B13" s="8">
        <v>1.86285195502856</v>
      </c>
      <c r="C13" s="8">
        <v>1.12704362637363</v>
      </c>
      <c r="D13" s="8">
        <v>-2261.40701186814</v>
      </c>
      <c r="E13" s="6" t="s">
        <v>16</v>
      </c>
      <c r="F13" s="8">
        <f t="shared" si="1"/>
        <v>2.3746244701463</v>
      </c>
      <c r="G13" s="8">
        <f t="shared" si="2"/>
        <v>2.26203451682039</v>
      </c>
      <c r="H13" s="8">
        <f t="shared" si="3"/>
        <v>2.1699154640992</v>
      </c>
      <c r="I13" s="8">
        <f t="shared" si="4"/>
        <v>2.09826731198272</v>
      </c>
      <c r="J13" s="8">
        <f t="shared" si="5"/>
        <v>2.04709006047094</v>
      </c>
      <c r="K13" s="8">
        <f t="shared" si="6"/>
        <v>2.01638370956388</v>
      </c>
      <c r="L13" s="8">
        <f t="shared" si="7"/>
        <v>2.00614825926153</v>
      </c>
      <c r="M13" s="8">
        <f t="shared" si="8"/>
        <v>2.01638370956388</v>
      </c>
      <c r="N13" s="8">
        <f t="shared" si="9"/>
        <v>2.04709006047094</v>
      </c>
      <c r="O13" s="8">
        <f t="shared" si="10"/>
        <v>2.09826731198272</v>
      </c>
      <c r="P13" s="8">
        <f t="shared" si="11"/>
        <v>2.1699154640992</v>
      </c>
      <c r="Q13" s="8">
        <f t="shared" si="12"/>
        <v>2.26203451682039</v>
      </c>
      <c r="R13" s="8">
        <f t="shared" si="13"/>
        <v>2.3746244701463</v>
      </c>
    </row>
    <row r="14" spans="1:18">
      <c r="A14" s="8">
        <v>5.50227758310145e-6</v>
      </c>
      <c r="B14" s="8">
        <v>3.32821399298449</v>
      </c>
      <c r="C14" s="8">
        <v>1.10148450549451</v>
      </c>
      <c r="D14" s="8">
        <v>-2208.91729670331</v>
      </c>
      <c r="E14" s="6" t="s">
        <v>17</v>
      </c>
      <c r="F14" s="8">
        <f t="shared" si="1"/>
        <v>4.24255849655166</v>
      </c>
      <c r="G14" s="8">
        <f t="shared" si="2"/>
        <v>4.04140270576689</v>
      </c>
      <c r="H14" s="8">
        <f t="shared" si="3"/>
        <v>3.87682069512479</v>
      </c>
      <c r="I14" s="8">
        <f t="shared" si="4"/>
        <v>3.74881246462539</v>
      </c>
      <c r="J14" s="8">
        <f t="shared" si="5"/>
        <v>3.65737801426867</v>
      </c>
      <c r="K14" s="8">
        <f t="shared" si="6"/>
        <v>3.60251734405464</v>
      </c>
      <c r="L14" s="8">
        <f t="shared" si="7"/>
        <v>3.5842304539833</v>
      </c>
      <c r="M14" s="8">
        <f t="shared" si="8"/>
        <v>3.60251734405464</v>
      </c>
      <c r="N14" s="8">
        <f t="shared" si="9"/>
        <v>3.65737801426867</v>
      </c>
      <c r="O14" s="8">
        <f t="shared" si="10"/>
        <v>3.74881246462539</v>
      </c>
      <c r="P14" s="8">
        <f t="shared" si="11"/>
        <v>3.87682069512479</v>
      </c>
      <c r="Q14" s="8">
        <f t="shared" si="12"/>
        <v>4.04140270576689</v>
      </c>
      <c r="R14" s="8">
        <f t="shared" si="13"/>
        <v>4.24255849655166</v>
      </c>
    </row>
    <row r="15" spans="1:18">
      <c r="A15" s="8">
        <v>7.10080828559094e-8</v>
      </c>
      <c r="B15" s="8">
        <v>1.01136183575225</v>
      </c>
      <c r="C15" s="8">
        <v>0.938408351648357</v>
      </c>
      <c r="D15" s="8">
        <v>-1886.86686516485</v>
      </c>
      <c r="E15" s="6" t="s">
        <v>18</v>
      </c>
      <c r="F15" s="8">
        <f t="shared" si="1"/>
        <v>1.28920849392594</v>
      </c>
      <c r="G15" s="8">
        <f t="shared" si="2"/>
        <v>1.22808222912773</v>
      </c>
      <c r="H15" s="8">
        <f t="shared" si="3"/>
        <v>1.17806983065647</v>
      </c>
      <c r="I15" s="8">
        <f t="shared" si="4"/>
        <v>1.13917129851215</v>
      </c>
      <c r="J15" s="8">
        <f t="shared" si="5"/>
        <v>1.11138663269478</v>
      </c>
      <c r="K15" s="8">
        <f t="shared" si="6"/>
        <v>1.09471583320436</v>
      </c>
      <c r="L15" s="8">
        <f t="shared" si="7"/>
        <v>1.08915890004088</v>
      </c>
      <c r="M15" s="8">
        <f t="shared" si="8"/>
        <v>1.09471583320436</v>
      </c>
      <c r="N15" s="8">
        <f t="shared" si="9"/>
        <v>1.11138663269478</v>
      </c>
      <c r="O15" s="8">
        <f t="shared" si="10"/>
        <v>1.13917129851215</v>
      </c>
      <c r="P15" s="8">
        <f t="shared" si="11"/>
        <v>1.17806983065647</v>
      </c>
      <c r="Q15" s="8">
        <f t="shared" si="12"/>
        <v>1.22808222912773</v>
      </c>
      <c r="R15" s="8">
        <f t="shared" si="13"/>
        <v>1.28920849392594</v>
      </c>
    </row>
    <row r="16" spans="1:18">
      <c r="A16" s="8">
        <v>0.000405266160457478</v>
      </c>
      <c r="B16" s="8">
        <v>26.2803665670605</v>
      </c>
      <c r="C16" s="8">
        <v>1.89835214285715</v>
      </c>
      <c r="D16" s="8">
        <v>-3802.40619043958</v>
      </c>
      <c r="E16" s="6" t="s">
        <v>19</v>
      </c>
      <c r="F16" s="8">
        <f t="shared" si="1"/>
        <v>33.5002474920771</v>
      </c>
      <c r="G16" s="8">
        <f t="shared" si="2"/>
        <v>31.9118736885734</v>
      </c>
      <c r="H16" s="8">
        <f t="shared" si="3"/>
        <v>30.6122951220704</v>
      </c>
      <c r="I16" s="8">
        <f t="shared" si="4"/>
        <v>29.6015117925681</v>
      </c>
      <c r="J16" s="8">
        <f t="shared" si="5"/>
        <v>28.8795237000664</v>
      </c>
      <c r="K16" s="8">
        <f t="shared" si="6"/>
        <v>28.4463308445654</v>
      </c>
      <c r="L16" s="8">
        <f t="shared" si="7"/>
        <v>28.3019332260651</v>
      </c>
      <c r="M16" s="8">
        <f t="shared" si="8"/>
        <v>28.4463308445654</v>
      </c>
      <c r="N16" s="8">
        <f t="shared" si="9"/>
        <v>28.8795237000664</v>
      </c>
      <c r="O16" s="8">
        <f t="shared" si="10"/>
        <v>29.6015117925681</v>
      </c>
      <c r="P16" s="8">
        <f t="shared" si="11"/>
        <v>30.6122951220704</v>
      </c>
      <c r="Q16" s="8">
        <f t="shared" si="12"/>
        <v>31.9118736885734</v>
      </c>
      <c r="R16" s="8">
        <f t="shared" si="13"/>
        <v>33.5002474920771</v>
      </c>
    </row>
    <row r="17" spans="1:18">
      <c r="A17" s="8">
        <v>1.56392158832616e-5</v>
      </c>
      <c r="B17" s="8">
        <v>1.45092906531704</v>
      </c>
      <c r="C17" s="8">
        <v>0.650840164835167</v>
      </c>
      <c r="D17" s="8">
        <v>-1298.8861534066</v>
      </c>
      <c r="E17" s="6" t="s">
        <v>20</v>
      </c>
      <c r="F17" s="8">
        <f t="shared" si="1"/>
        <v>1.84953595139316</v>
      </c>
      <c r="G17" s="8">
        <f t="shared" si="2"/>
        <v>1.76184243645641</v>
      </c>
      <c r="H17" s="8">
        <f t="shared" si="3"/>
        <v>1.69009319696271</v>
      </c>
      <c r="I17" s="8">
        <f t="shared" si="4"/>
        <v>1.63428823291206</v>
      </c>
      <c r="J17" s="8">
        <f t="shared" si="5"/>
        <v>1.59442754430444</v>
      </c>
      <c r="K17" s="8">
        <f t="shared" si="6"/>
        <v>1.57051113113988</v>
      </c>
      <c r="L17" s="8">
        <f t="shared" si="7"/>
        <v>1.56253899341836</v>
      </c>
      <c r="M17" s="8">
        <f t="shared" si="8"/>
        <v>1.57051113113988</v>
      </c>
      <c r="N17" s="8">
        <f t="shared" si="9"/>
        <v>1.59442754430444</v>
      </c>
      <c r="O17" s="8">
        <f t="shared" si="10"/>
        <v>1.63428823291206</v>
      </c>
      <c r="P17" s="8">
        <f t="shared" si="11"/>
        <v>1.69009319696271</v>
      </c>
      <c r="Q17" s="8">
        <f t="shared" si="12"/>
        <v>1.76184243645641</v>
      </c>
      <c r="R17" s="8">
        <f t="shared" si="13"/>
        <v>1.84953595139316</v>
      </c>
    </row>
    <row r="18" spans="1:18">
      <c r="A18" s="8">
        <v>2.29077430918349e-6</v>
      </c>
      <c r="B18" s="8">
        <v>2.34889428356469</v>
      </c>
      <c r="C18" s="8">
        <v>1.01319675824176</v>
      </c>
      <c r="D18" s="8">
        <v>-2032.4355235165</v>
      </c>
      <c r="E18" s="6" t="s">
        <v>21</v>
      </c>
      <c r="F18" s="8">
        <f t="shared" si="1"/>
        <v>2.99419491091762</v>
      </c>
      <c r="G18" s="8">
        <f t="shared" si="2"/>
        <v>2.85222877289998</v>
      </c>
      <c r="H18" s="8">
        <f t="shared" si="3"/>
        <v>2.73607465997645</v>
      </c>
      <c r="I18" s="8">
        <f t="shared" si="4"/>
        <v>2.64573257214704</v>
      </c>
      <c r="J18" s="8">
        <f t="shared" si="5"/>
        <v>2.58120250941174</v>
      </c>
      <c r="K18" s="8">
        <f t="shared" si="6"/>
        <v>2.54248447177057</v>
      </c>
      <c r="L18" s="8">
        <f t="shared" si="7"/>
        <v>2.52957845922351</v>
      </c>
      <c r="M18" s="8">
        <f t="shared" si="8"/>
        <v>2.54248447177057</v>
      </c>
      <c r="N18" s="8">
        <f t="shared" si="9"/>
        <v>2.58120250941174</v>
      </c>
      <c r="O18" s="8">
        <f t="shared" si="10"/>
        <v>2.64573257214704</v>
      </c>
      <c r="P18" s="8">
        <f t="shared" si="11"/>
        <v>2.73607465997645</v>
      </c>
      <c r="Q18" s="8">
        <f t="shared" si="12"/>
        <v>2.85222877289998</v>
      </c>
      <c r="R18" s="8">
        <f t="shared" si="13"/>
        <v>2.99419491091762</v>
      </c>
    </row>
    <row r="19" spans="1:18">
      <c r="A19" s="8">
        <v>2.82355657916565e-6</v>
      </c>
      <c r="B19" s="8">
        <v>3.37119139486392</v>
      </c>
      <c r="C19" s="8">
        <v>1.18803983516484</v>
      </c>
      <c r="D19" s="8">
        <v>-2385.52207120881</v>
      </c>
      <c r="E19" s="6" t="s">
        <v>22</v>
      </c>
      <c r="F19" s="8">
        <f t="shared" si="1"/>
        <v>4.29734287696939</v>
      </c>
      <c r="G19" s="8">
        <f t="shared" si="2"/>
        <v>4.09358955090619</v>
      </c>
      <c r="H19" s="8">
        <f t="shared" si="3"/>
        <v>3.9268822841272</v>
      </c>
      <c r="I19" s="8">
        <f t="shared" si="4"/>
        <v>3.79722107663243</v>
      </c>
      <c r="J19" s="8">
        <f t="shared" si="5"/>
        <v>3.70460592842189</v>
      </c>
      <c r="K19" s="8">
        <f t="shared" si="6"/>
        <v>3.64903683949556</v>
      </c>
      <c r="L19" s="8">
        <f t="shared" si="7"/>
        <v>3.63051380985345</v>
      </c>
      <c r="M19" s="8">
        <f t="shared" si="8"/>
        <v>3.64903683949556</v>
      </c>
      <c r="N19" s="8">
        <f t="shared" si="9"/>
        <v>3.70460592842189</v>
      </c>
      <c r="O19" s="8">
        <f t="shared" si="10"/>
        <v>3.79722107663243</v>
      </c>
      <c r="P19" s="8">
        <f t="shared" si="11"/>
        <v>3.9268822841272</v>
      </c>
      <c r="Q19" s="8">
        <f t="shared" si="12"/>
        <v>4.09358955090619</v>
      </c>
      <c r="R19" s="8">
        <f t="shared" si="13"/>
        <v>4.29734287696939</v>
      </c>
    </row>
    <row r="20" spans="1:18">
      <c r="A20" s="8">
        <v>8.74519461704414e-7</v>
      </c>
      <c r="B20" s="8">
        <v>38.0955119977674</v>
      </c>
      <c r="C20" s="8">
        <v>4.49872703296706</v>
      </c>
      <c r="D20" s="8">
        <v>-9018.36876483522</v>
      </c>
      <c r="E20" s="6" t="s">
        <v>23</v>
      </c>
      <c r="F20" s="8">
        <f t="shared" si="1"/>
        <v>48.5613119971541</v>
      </c>
      <c r="G20" s="8">
        <f t="shared" si="2"/>
        <v>46.258835997289</v>
      </c>
      <c r="H20" s="8">
        <f t="shared" si="3"/>
        <v>44.3749919973994</v>
      </c>
      <c r="I20" s="8">
        <f t="shared" si="4"/>
        <v>42.9097799974853</v>
      </c>
      <c r="J20" s="8">
        <f t="shared" si="5"/>
        <v>41.8631999975466</v>
      </c>
      <c r="K20" s="8">
        <f t="shared" si="6"/>
        <v>41.2352519975834</v>
      </c>
      <c r="L20" s="8">
        <f t="shared" si="7"/>
        <v>41.0259359975957</v>
      </c>
      <c r="M20" s="8">
        <f t="shared" si="8"/>
        <v>41.2352519975834</v>
      </c>
      <c r="N20" s="8">
        <f t="shared" si="9"/>
        <v>41.8631999975466</v>
      </c>
      <c r="O20" s="8">
        <f t="shared" si="10"/>
        <v>42.9097799974853</v>
      </c>
      <c r="P20" s="8">
        <f t="shared" si="11"/>
        <v>44.3749919973994</v>
      </c>
      <c r="Q20" s="8">
        <f t="shared" si="12"/>
        <v>46.258835997289</v>
      </c>
      <c r="R20" s="8">
        <f t="shared" si="13"/>
        <v>48.5613119971541</v>
      </c>
    </row>
    <row r="21" spans="1:18">
      <c r="A21" s="8">
        <v>0.00340887742599639</v>
      </c>
      <c r="B21" s="8">
        <v>0.358788586008389</v>
      </c>
      <c r="C21" s="8">
        <v>0.164964615384617</v>
      </c>
      <c r="D21" s="8">
        <v>-330.418362307695</v>
      </c>
      <c r="E21" s="6" t="s">
        <v>24</v>
      </c>
      <c r="F21" s="8">
        <f t="shared" si="1"/>
        <v>0.457356878867837</v>
      </c>
      <c r="G21" s="8">
        <f t="shared" si="2"/>
        <v>0.435671854438758</v>
      </c>
      <c r="H21" s="8">
        <f t="shared" si="3"/>
        <v>0.417929561724057</v>
      </c>
      <c r="I21" s="8">
        <f t="shared" si="4"/>
        <v>0.404130000723735</v>
      </c>
      <c r="J21" s="8">
        <f t="shared" si="5"/>
        <v>0.39427317143779</v>
      </c>
      <c r="K21" s="8">
        <f t="shared" si="6"/>
        <v>0.388359073866223</v>
      </c>
      <c r="L21" s="8">
        <f t="shared" si="7"/>
        <v>0.386387708009034</v>
      </c>
      <c r="M21" s="8">
        <f t="shared" si="8"/>
        <v>0.388359073866223</v>
      </c>
      <c r="N21" s="8">
        <f t="shared" si="9"/>
        <v>0.39427317143779</v>
      </c>
      <c r="O21" s="8">
        <f t="shared" si="10"/>
        <v>0.404130000723735</v>
      </c>
      <c r="P21" s="8">
        <f t="shared" si="11"/>
        <v>0.417929561724057</v>
      </c>
      <c r="Q21" s="8">
        <f t="shared" si="12"/>
        <v>0.435671854438758</v>
      </c>
      <c r="R21" s="8">
        <f t="shared" si="13"/>
        <v>0.457356878867837</v>
      </c>
    </row>
    <row r="22" spans="1:18">
      <c r="A22" s="8">
        <v>0.0990510072277698</v>
      </c>
      <c r="B22" s="8">
        <v>0.011909486186963</v>
      </c>
      <c r="C22" s="8">
        <v>0.0145736813186814</v>
      </c>
      <c r="D22" s="8">
        <v>-29.0984435164837</v>
      </c>
      <c r="E22" s="6" t="s">
        <v>25</v>
      </c>
      <c r="F22" s="8">
        <f t="shared" si="1"/>
        <v>0.0151813230515132</v>
      </c>
      <c r="G22" s="8">
        <f t="shared" si="2"/>
        <v>0.0144615189413122</v>
      </c>
      <c r="H22" s="8">
        <f t="shared" si="3"/>
        <v>0.0138725883056931</v>
      </c>
      <c r="I22" s="8">
        <f t="shared" si="4"/>
        <v>0.0134145311446561</v>
      </c>
      <c r="J22" s="8">
        <f t="shared" si="5"/>
        <v>0.013087347458201</v>
      </c>
      <c r="K22" s="8">
        <f t="shared" si="6"/>
        <v>0.012891037246328</v>
      </c>
      <c r="L22" s="8">
        <f t="shared" si="7"/>
        <v>0.012825600509037</v>
      </c>
      <c r="M22" s="8">
        <f t="shared" si="8"/>
        <v>0.012891037246328</v>
      </c>
      <c r="N22" s="8">
        <f t="shared" si="9"/>
        <v>0.013087347458201</v>
      </c>
      <c r="O22" s="8">
        <f t="shared" si="10"/>
        <v>0.0134145311446561</v>
      </c>
      <c r="P22" s="8">
        <f t="shared" si="11"/>
        <v>0.0138725883056931</v>
      </c>
      <c r="Q22" s="8">
        <f t="shared" si="12"/>
        <v>0.0144615189413122</v>
      </c>
      <c r="R22" s="8">
        <f t="shared" si="13"/>
        <v>0.0151813230515132</v>
      </c>
    </row>
    <row r="23" spans="1:18">
      <c r="A23" s="8">
        <v>9.20556696197413e-11</v>
      </c>
      <c r="B23" s="8">
        <v>0.0880159287636373</v>
      </c>
      <c r="C23" s="8">
        <v>0.517864615384617</v>
      </c>
      <c r="D23" s="8">
        <v>-1038.88274076923</v>
      </c>
      <c r="E23" s="6" t="s">
        <v>26</v>
      </c>
      <c r="F23" s="8">
        <f t="shared" si="1"/>
        <v>0.112196128973428</v>
      </c>
      <c r="G23" s="8">
        <f t="shared" si="2"/>
        <v>0.106876484927274</v>
      </c>
      <c r="H23" s="8">
        <f t="shared" si="3"/>
        <v>0.102524048889512</v>
      </c>
      <c r="I23" s="8">
        <f t="shared" si="4"/>
        <v>0.0991388208601409</v>
      </c>
      <c r="J23" s="8">
        <f t="shared" si="5"/>
        <v>0.0967208008391618</v>
      </c>
      <c r="K23" s="8">
        <f t="shared" si="6"/>
        <v>0.0952699888265744</v>
      </c>
      <c r="L23" s="8">
        <f t="shared" si="7"/>
        <v>0.0947863848223786</v>
      </c>
      <c r="M23" s="8">
        <f t="shared" si="8"/>
        <v>0.0952699888265744</v>
      </c>
      <c r="N23" s="8">
        <f t="shared" si="9"/>
        <v>0.0967208008391618</v>
      </c>
      <c r="O23" s="8">
        <f t="shared" si="10"/>
        <v>0.0991388208601409</v>
      </c>
      <c r="P23" s="8">
        <f t="shared" si="11"/>
        <v>0.102524048889512</v>
      </c>
      <c r="Q23" s="8">
        <f t="shared" si="12"/>
        <v>0.106876484927274</v>
      </c>
      <c r="R23" s="8">
        <f t="shared" si="13"/>
        <v>0.112196128973428</v>
      </c>
    </row>
    <row r="24" spans="1:18">
      <c r="A24" s="8">
        <v>7.9329120140562e-7</v>
      </c>
      <c r="B24" s="8">
        <v>0.935128161662516</v>
      </c>
      <c r="C24" s="8">
        <v>0.711761373626378</v>
      </c>
      <c r="D24" s="8">
        <v>-1427.96371967034</v>
      </c>
      <c r="E24" s="6" t="s">
        <v>27</v>
      </c>
      <c r="F24" s="8">
        <f t="shared" si="1"/>
        <v>1.19203150277859</v>
      </c>
      <c r="G24" s="8">
        <f t="shared" si="2"/>
        <v>1.13551276773306</v>
      </c>
      <c r="H24" s="8">
        <f t="shared" si="3"/>
        <v>1.08927016633216</v>
      </c>
      <c r="I24" s="8">
        <f t="shared" si="4"/>
        <v>1.05330369857591</v>
      </c>
      <c r="J24" s="8">
        <f t="shared" si="5"/>
        <v>1.0276133644643</v>
      </c>
      <c r="K24" s="8">
        <f t="shared" si="6"/>
        <v>1.01219916399734</v>
      </c>
      <c r="L24" s="8">
        <f t="shared" si="7"/>
        <v>1.00706109717502</v>
      </c>
      <c r="M24" s="8">
        <f t="shared" si="8"/>
        <v>1.01219916399734</v>
      </c>
      <c r="N24" s="8">
        <f t="shared" si="9"/>
        <v>1.0276133644643</v>
      </c>
      <c r="O24" s="8">
        <f t="shared" si="10"/>
        <v>1.05330369857591</v>
      </c>
      <c r="P24" s="8">
        <f t="shared" si="11"/>
        <v>1.08927016633216</v>
      </c>
      <c r="Q24" s="8">
        <f t="shared" si="12"/>
        <v>1.13551276773306</v>
      </c>
      <c r="R24" s="8">
        <f t="shared" si="13"/>
        <v>1.19203150277859</v>
      </c>
    </row>
    <row r="25" spans="1:18">
      <c r="A25" s="8">
        <v>4.92089931136633e-8</v>
      </c>
      <c r="B25" s="8">
        <v>0.0248742932627339</v>
      </c>
      <c r="C25" s="8">
        <v>0.152469890109891</v>
      </c>
      <c r="D25" s="8">
        <v>-305.56169901099</v>
      </c>
      <c r="E25" s="6" t="s">
        <v>28</v>
      </c>
      <c r="F25" s="8">
        <f t="shared" si="1"/>
        <v>0.0317078903129356</v>
      </c>
      <c r="G25" s="8">
        <f t="shared" si="2"/>
        <v>0.0302044989618912</v>
      </c>
      <c r="H25" s="8">
        <f t="shared" si="3"/>
        <v>0.0289744514928549</v>
      </c>
      <c r="I25" s="8">
        <f t="shared" si="4"/>
        <v>0.0280177479058267</v>
      </c>
      <c r="J25" s="8">
        <f t="shared" si="5"/>
        <v>0.0273343882008065</v>
      </c>
      <c r="K25" s="8">
        <f t="shared" si="6"/>
        <v>0.0269243723777944</v>
      </c>
      <c r="L25" s="8">
        <f t="shared" si="7"/>
        <v>0.0267877004367904</v>
      </c>
      <c r="M25" s="8">
        <f t="shared" si="8"/>
        <v>0.0269243723777944</v>
      </c>
      <c r="N25" s="8">
        <f t="shared" si="9"/>
        <v>0.0273343882008065</v>
      </c>
      <c r="O25" s="8">
        <f t="shared" si="10"/>
        <v>0.0280177479058267</v>
      </c>
      <c r="P25" s="8">
        <f t="shared" si="11"/>
        <v>0.0289744514928549</v>
      </c>
      <c r="Q25" s="8">
        <f t="shared" si="12"/>
        <v>0.0302044989618912</v>
      </c>
      <c r="R25" s="8">
        <f t="shared" si="13"/>
        <v>0.0317078903129356</v>
      </c>
    </row>
    <row r="26" spans="1:18">
      <c r="A26" s="8">
        <v>5.30795243117907e-8</v>
      </c>
      <c r="B26" s="8">
        <v>0.0517760032924546</v>
      </c>
      <c r="C26" s="8">
        <v>0.218375879120881</v>
      </c>
      <c r="D26" s="8">
        <v>-438.343470219783</v>
      </c>
      <c r="E26" s="6" t="s">
        <v>29</v>
      </c>
      <c r="F26" s="8">
        <f t="shared" si="1"/>
        <v>0.0660001800211509</v>
      </c>
      <c r="G26" s="8">
        <f t="shared" si="2"/>
        <v>0.0628708611408377</v>
      </c>
      <c r="H26" s="8">
        <f t="shared" si="3"/>
        <v>0.0603105093296724</v>
      </c>
      <c r="I26" s="8">
        <f t="shared" si="4"/>
        <v>0.0583191245876549</v>
      </c>
      <c r="J26" s="8">
        <f t="shared" si="5"/>
        <v>0.0568967069147853</v>
      </c>
      <c r="K26" s="8">
        <f t="shared" si="6"/>
        <v>0.0560432563110635</v>
      </c>
      <c r="L26" s="8">
        <f t="shared" si="7"/>
        <v>0.0557587727764896</v>
      </c>
      <c r="M26" s="8">
        <f t="shared" si="8"/>
        <v>0.0560432563110635</v>
      </c>
      <c r="N26" s="8">
        <f t="shared" si="9"/>
        <v>0.0568967069147853</v>
      </c>
      <c r="O26" s="8">
        <f t="shared" si="10"/>
        <v>0.0583191245876549</v>
      </c>
      <c r="P26" s="8">
        <f t="shared" si="11"/>
        <v>0.0603105093296724</v>
      </c>
      <c r="Q26" s="8">
        <f t="shared" si="12"/>
        <v>0.0628708611408377</v>
      </c>
      <c r="R26" s="8">
        <f t="shared" si="13"/>
        <v>0.0660001800211509</v>
      </c>
    </row>
    <row r="27" spans="1:18">
      <c r="A27" s="8">
        <v>0.00460992621951061</v>
      </c>
      <c r="B27" s="8">
        <v>4.22695688311684e-5</v>
      </c>
      <c r="C27" s="8">
        <v>0.00170736263736264</v>
      </c>
      <c r="D27" s="8">
        <v>-3.42608241758242</v>
      </c>
      <c r="E27" s="6" t="s">
        <v>30</v>
      </c>
      <c r="F27" s="8">
        <f t="shared" si="1"/>
        <v>5.38820877408301e-5</v>
      </c>
      <c r="G27" s="8">
        <f t="shared" si="2"/>
        <v>5.13273335807045e-5</v>
      </c>
      <c r="H27" s="8">
        <f t="shared" si="3"/>
        <v>4.92370801769654e-5</v>
      </c>
      <c r="I27" s="8">
        <f t="shared" si="4"/>
        <v>4.76113275296128e-5</v>
      </c>
      <c r="J27" s="8">
        <f t="shared" si="5"/>
        <v>4.64500756386466e-5</v>
      </c>
      <c r="K27" s="8">
        <f t="shared" si="6"/>
        <v>4.57533245040669e-5</v>
      </c>
      <c r="L27" s="8">
        <f t="shared" si="7"/>
        <v>4.55210741258737e-5</v>
      </c>
      <c r="M27" s="8">
        <f t="shared" si="8"/>
        <v>4.57533245040669e-5</v>
      </c>
      <c r="N27" s="8">
        <f t="shared" si="9"/>
        <v>4.64500756386466e-5</v>
      </c>
      <c r="O27" s="8">
        <f t="shared" si="10"/>
        <v>4.76113275296128e-5</v>
      </c>
      <c r="P27" s="8">
        <f t="shared" si="11"/>
        <v>4.92370801769654e-5</v>
      </c>
      <c r="Q27" s="8">
        <f t="shared" si="12"/>
        <v>5.13273335807045e-5</v>
      </c>
      <c r="R27" s="8">
        <f t="shared" si="13"/>
        <v>5.38820877408301e-5</v>
      </c>
    </row>
    <row r="28" spans="1:18">
      <c r="A28" s="8">
        <v>0.00213895389367691</v>
      </c>
      <c r="B28" s="8">
        <v>0.688416280114292</v>
      </c>
      <c r="C28" s="8">
        <v>0.245110329670332</v>
      </c>
      <c r="D28" s="8">
        <v>-489.540762197806</v>
      </c>
      <c r="E28" s="6" t="s">
        <v>31</v>
      </c>
      <c r="F28" s="8">
        <f t="shared" si="1"/>
        <v>0.877541631794042</v>
      </c>
      <c r="G28" s="8">
        <f t="shared" si="2"/>
        <v>0.835934054424497</v>
      </c>
      <c r="H28" s="8">
        <f t="shared" si="3"/>
        <v>0.801891491122142</v>
      </c>
      <c r="I28" s="8">
        <f t="shared" si="4"/>
        <v>0.775413941886977</v>
      </c>
      <c r="J28" s="8">
        <f t="shared" si="5"/>
        <v>0.756501406719002</v>
      </c>
      <c r="K28" s="8">
        <f t="shared" si="6"/>
        <v>0.745153885618217</v>
      </c>
      <c r="L28" s="8">
        <f t="shared" si="7"/>
        <v>0.741371378584622</v>
      </c>
      <c r="M28" s="8">
        <f t="shared" si="8"/>
        <v>0.745153885618217</v>
      </c>
      <c r="N28" s="8">
        <f t="shared" si="9"/>
        <v>0.756501406719002</v>
      </c>
      <c r="O28" s="8">
        <f t="shared" si="10"/>
        <v>0.775413941886977</v>
      </c>
      <c r="P28" s="8">
        <f t="shared" si="11"/>
        <v>0.801891491122142</v>
      </c>
      <c r="Q28" s="8">
        <f t="shared" si="12"/>
        <v>0.835934054424497</v>
      </c>
      <c r="R28" s="8">
        <f t="shared" si="13"/>
        <v>0.877541631794042</v>
      </c>
    </row>
    <row r="29" spans="1:18">
      <c r="A29" s="10">
        <v>0.167528411188437</v>
      </c>
      <c r="B29" s="8">
        <v>0.108648852921827</v>
      </c>
      <c r="C29" s="8">
        <v>0.0361056593406597</v>
      </c>
      <c r="D29" s="8">
        <v>-71.6073920879128</v>
      </c>
      <c r="E29" s="6" t="s">
        <v>32</v>
      </c>
      <c r="F29" s="8">
        <f t="shared" si="1"/>
        <v>0.138497438889362</v>
      </c>
      <c r="G29" s="8">
        <f t="shared" si="2"/>
        <v>0.131930749976504</v>
      </c>
      <c r="H29" s="8">
        <f t="shared" si="3"/>
        <v>0.126558004502348</v>
      </c>
      <c r="I29" s="8">
        <f t="shared" si="4"/>
        <v>0.122379202466893</v>
      </c>
      <c r="J29" s="8">
        <f t="shared" si="5"/>
        <v>0.11939434387014</v>
      </c>
      <c r="K29" s="8">
        <f t="shared" si="6"/>
        <v>0.117603428712088</v>
      </c>
      <c r="L29" s="8">
        <f t="shared" si="7"/>
        <v>0.117006456992737</v>
      </c>
      <c r="M29" s="8">
        <f t="shared" si="8"/>
        <v>0.117603428712088</v>
      </c>
      <c r="N29" s="8">
        <f t="shared" si="9"/>
        <v>0.11939434387014</v>
      </c>
      <c r="O29" s="8">
        <f t="shared" si="10"/>
        <v>0.122379202466893</v>
      </c>
      <c r="P29" s="8">
        <f t="shared" si="11"/>
        <v>0.126558004502348</v>
      </c>
      <c r="Q29" s="8">
        <f t="shared" si="12"/>
        <v>0.131930749976504</v>
      </c>
      <c r="R29" s="8">
        <f t="shared" si="13"/>
        <v>0.138497438889362</v>
      </c>
    </row>
    <row r="30" spans="1:18">
      <c r="A30" s="10">
        <v>0.77378731865311</v>
      </c>
      <c r="B30" s="8">
        <v>0.00133826552062937</v>
      </c>
      <c r="C30" s="8">
        <v>0.000798846153846221</v>
      </c>
      <c r="D30" s="8">
        <v>-1.42899000000013</v>
      </c>
      <c r="E30" s="6" t="s">
        <v>33</v>
      </c>
      <c r="F30" s="8">
        <f t="shared" si="1"/>
        <v>0.00170592088343964</v>
      </c>
      <c r="G30" s="8">
        <f t="shared" si="2"/>
        <v>0.00162503670362138</v>
      </c>
      <c r="H30" s="8">
        <f t="shared" si="3"/>
        <v>0.00155885873831553</v>
      </c>
      <c r="I30" s="8">
        <f t="shared" si="4"/>
        <v>0.0015073869875221</v>
      </c>
      <c r="J30" s="8">
        <f t="shared" si="5"/>
        <v>0.00147062145124107</v>
      </c>
      <c r="K30" s="8">
        <f t="shared" si="6"/>
        <v>0.00144856212947245</v>
      </c>
      <c r="L30" s="8">
        <f t="shared" si="7"/>
        <v>0.00144120902221625</v>
      </c>
      <c r="M30" s="8">
        <f t="shared" si="8"/>
        <v>0.00144856212947245</v>
      </c>
      <c r="N30" s="8">
        <f t="shared" si="9"/>
        <v>0.00147062145124107</v>
      </c>
      <c r="O30" s="8">
        <f t="shared" si="10"/>
        <v>0.0015073869875221</v>
      </c>
      <c r="P30" s="8">
        <f t="shared" si="11"/>
        <v>0.00155885873831553</v>
      </c>
      <c r="Q30" s="8">
        <f t="shared" si="12"/>
        <v>0.00162503670362138</v>
      </c>
      <c r="R30" s="8">
        <f t="shared" si="13"/>
        <v>0.00170592088343964</v>
      </c>
    </row>
    <row r="31" spans="1:18">
      <c r="A31" s="8">
        <v>2.88569855780509e-6</v>
      </c>
      <c r="B31" s="8">
        <v>0.0165896887446553</v>
      </c>
      <c r="C31" s="8">
        <v>0.0831543956043961</v>
      </c>
      <c r="D31" s="8">
        <v>-166.991946483518</v>
      </c>
      <c r="E31" s="6" t="s">
        <v>34</v>
      </c>
      <c r="F31" s="8">
        <f t="shared" si="1"/>
        <v>0.0211472955426376</v>
      </c>
      <c r="G31" s="8">
        <f t="shared" si="2"/>
        <v>0.0201446220470815</v>
      </c>
      <c r="H31" s="8">
        <f t="shared" si="3"/>
        <v>0.0193242528234447</v>
      </c>
      <c r="I31" s="8">
        <f t="shared" si="4"/>
        <v>0.0186861878717272</v>
      </c>
      <c r="J31" s="8">
        <f t="shared" si="5"/>
        <v>0.0182304271919289</v>
      </c>
      <c r="K31" s="8">
        <f t="shared" si="6"/>
        <v>0.01795697078405</v>
      </c>
      <c r="L31" s="8">
        <f t="shared" si="7"/>
        <v>0.0178658186480904</v>
      </c>
      <c r="M31" s="8">
        <f t="shared" si="8"/>
        <v>0.01795697078405</v>
      </c>
      <c r="N31" s="8">
        <f t="shared" si="9"/>
        <v>0.0182304271919289</v>
      </c>
      <c r="O31" s="8">
        <f t="shared" si="10"/>
        <v>0.0186861878717272</v>
      </c>
      <c r="P31" s="8">
        <f t="shared" si="11"/>
        <v>0.0193242528234447</v>
      </c>
      <c r="Q31" s="8">
        <f t="shared" si="12"/>
        <v>0.0201446220470815</v>
      </c>
      <c r="R31" s="8">
        <f t="shared" si="13"/>
        <v>0.0211472955426376</v>
      </c>
    </row>
    <row r="32" spans="1:18">
      <c r="A32" s="8">
        <v>0.0125591820455581</v>
      </c>
      <c r="B32" s="8">
        <v>0.0964865930590896</v>
      </c>
      <c r="C32" s="8">
        <v>0.0685734615384624</v>
      </c>
      <c r="D32" s="8">
        <v>-137.554203076925</v>
      </c>
      <c r="E32" s="6" t="s">
        <v>35</v>
      </c>
      <c r="F32" s="8">
        <f t="shared" si="1"/>
        <v>0.122993898844554</v>
      </c>
      <c r="G32" s="8">
        <f t="shared" si="2"/>
        <v>0.117162291571752</v>
      </c>
      <c r="H32" s="8">
        <f t="shared" si="3"/>
        <v>0.112390976530368</v>
      </c>
      <c r="I32" s="8">
        <f t="shared" si="4"/>
        <v>0.108679953720403</v>
      </c>
      <c r="J32" s="8">
        <f t="shared" si="5"/>
        <v>0.106029223141857</v>
      </c>
      <c r="K32" s="8">
        <f t="shared" si="6"/>
        <v>0.104438784794729</v>
      </c>
      <c r="L32" s="8">
        <f t="shared" si="7"/>
        <v>0.10390863867902</v>
      </c>
      <c r="M32" s="8">
        <f t="shared" si="8"/>
        <v>0.104438784794729</v>
      </c>
      <c r="N32" s="8">
        <f t="shared" si="9"/>
        <v>0.106029223141857</v>
      </c>
      <c r="O32" s="8">
        <f t="shared" si="10"/>
        <v>0.108679953720403</v>
      </c>
      <c r="P32" s="8">
        <f t="shared" si="11"/>
        <v>0.112390976530368</v>
      </c>
      <c r="Q32" s="8">
        <f t="shared" si="12"/>
        <v>0.117162291571752</v>
      </c>
      <c r="R32" s="8">
        <f t="shared" si="13"/>
        <v>0.122993898844554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workbookViewId="0">
      <selection activeCell="E8" sqref="E8"/>
    </sheetView>
  </sheetViews>
  <sheetFormatPr defaultColWidth="8.88888888888889" defaultRowHeight="14.4"/>
  <cols>
    <col min="1" max="2" width="15.712962962963" style="8" customWidth="1"/>
    <col min="3" max="3" width="11.712962962963" style="8" customWidth="1"/>
    <col min="4" max="4" width="16.3796296296296" style="8" customWidth="1"/>
    <col min="5" max="5" width="9" style="8"/>
    <col min="6" max="6" width="14.1111111111111" style="8"/>
    <col min="7" max="18" width="12.8888888888889" style="8"/>
  </cols>
  <sheetData>
    <row r="1" spans="1:18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9">
        <v>2012</v>
      </c>
      <c r="G1" s="9">
        <v>2013</v>
      </c>
      <c r="H1" s="9">
        <v>2014</v>
      </c>
      <c r="I1" s="9">
        <v>2015</v>
      </c>
      <c r="J1" s="9">
        <v>2016</v>
      </c>
      <c r="K1" s="9">
        <v>2017</v>
      </c>
      <c r="L1" s="9">
        <v>2018</v>
      </c>
      <c r="M1" s="9">
        <v>2019</v>
      </c>
      <c r="N1" s="9">
        <v>2020</v>
      </c>
      <c r="O1" s="9">
        <v>2021</v>
      </c>
      <c r="P1" s="9">
        <v>2022</v>
      </c>
      <c r="Q1" s="9">
        <v>2023</v>
      </c>
      <c r="R1" s="9">
        <v>2024</v>
      </c>
    </row>
    <row r="2" spans="1:18">
      <c r="A2" s="8">
        <v>0.000514351584510831</v>
      </c>
      <c r="B2" s="8">
        <v>868696.555817541</v>
      </c>
      <c r="C2" s="8">
        <v>334.770796758242</v>
      </c>
      <c r="D2" s="8">
        <v>-670553.060918133</v>
      </c>
      <c r="E2" s="6" t="s">
        <v>5</v>
      </c>
      <c r="F2" s="8">
        <f>$B2*(1+(1/13)+(((F$1-2018)^2)/(((2012-2018)^2)+((2013-2018)^2)+((2014-2018)^2)+((2015-2018)^2)+((2016-2018)^2)+((2017-2018)^2)+((2018-2018)^2)+((2019-2018)^2)+((2020-2018)^2)+((2021-2018)^2)+((2022-2018)^2)+((2023-2018)^2)+((2024-2018)^2))))</f>
        <v>1107349.45576741</v>
      </c>
      <c r="G2" s="8">
        <f t="shared" ref="G2:R2" si="0">$B2*(1+(1/13)+(((G$1-2018)^2)/(((2012-2018)^2)+((2013-2018)^2)+((2014-2018)^2)+((2015-2018)^2)+((2016-2018)^2)+((2017-2018)^2)+((2018-2018)^2)+((2019-2018)^2)+((2020-2018)^2)+((2021-2018)^2)+((2022-2018)^2)+((2023-2018)^2)+((2024-2018)^2))))</f>
        <v>1054845.81777844</v>
      </c>
      <c r="H2" s="8">
        <f t="shared" si="0"/>
        <v>1011888.29578746</v>
      </c>
      <c r="I2" s="8">
        <f t="shared" si="0"/>
        <v>978476.889794483</v>
      </c>
      <c r="J2" s="8">
        <f t="shared" si="0"/>
        <v>954611.599799495</v>
      </c>
      <c r="K2" s="8">
        <f t="shared" si="0"/>
        <v>940292.425802503</v>
      </c>
      <c r="L2" s="8">
        <f t="shared" si="0"/>
        <v>935519.367803505</v>
      </c>
      <c r="M2" s="8">
        <f t="shared" si="0"/>
        <v>940292.425802503</v>
      </c>
      <c r="N2" s="8">
        <f t="shared" si="0"/>
        <v>954611.599799495</v>
      </c>
      <c r="O2" s="8">
        <f t="shared" si="0"/>
        <v>978476.889794483</v>
      </c>
      <c r="P2" s="8">
        <f t="shared" si="0"/>
        <v>1011888.29578746</v>
      </c>
      <c r="Q2" s="8">
        <f t="shared" si="0"/>
        <v>1054845.81777844</v>
      </c>
      <c r="R2" s="8">
        <f t="shared" si="0"/>
        <v>1107349.45576741</v>
      </c>
    </row>
    <row r="3" spans="1:18">
      <c r="A3" s="8">
        <v>0.0484319944147303</v>
      </c>
      <c r="B3" s="8">
        <v>442596.81971218</v>
      </c>
      <c r="C3" s="8">
        <v>-109.43783302198</v>
      </c>
      <c r="D3" s="8">
        <v>225500.89465451</v>
      </c>
      <c r="E3" s="6" t="s">
        <v>6</v>
      </c>
      <c r="F3" s="8">
        <f t="shared" ref="F3:F32" si="1">$B3*(1+(1/13)+(((F$1-2018)^2)/(((2012-2018)^2)+((2013-2018)^2)+((2014-2018)^2)+((2015-2018)^2)+((2016-2018)^2)+((2017-2018)^2)+((2018-2018)^2)+((2019-2018)^2)+((2020-2018)^2)+((2021-2018)^2)+((2022-2018)^2)+((2023-2018)^2)+((2024-2018)^2))))</f>
        <v>564189.352600141</v>
      </c>
      <c r="G3" s="8">
        <f t="shared" ref="G3:G32" si="2">$B3*(1+(1/13)+(((G$1-2018)^2)/(((2012-2018)^2)+((2013-2018)^2)+((2014-2018)^2)+((2015-2018)^2)+((2016-2018)^2)+((2017-2018)^2)+((2018-2018)^2)+((2019-2018)^2)+((2020-2018)^2)+((2021-2018)^2)+((2022-2018)^2)+((2023-2018)^2)+((2024-2018)^2))))</f>
        <v>537438.995364789</v>
      </c>
      <c r="H3" s="8">
        <f t="shared" ref="H3:H32" si="3">$B3*(1+(1/13)+(((H$1-2018)^2)/(((2012-2018)^2)+((2013-2018)^2)+((2014-2018)^2)+((2015-2018)^2)+((2016-2018)^2)+((2017-2018)^2)+((2018-2018)^2)+((2019-2018)^2)+((2020-2018)^2)+((2021-2018)^2)+((2022-2018)^2)+((2023-2018)^2)+((2024-2018)^2))))</f>
        <v>515552.339444956</v>
      </c>
      <c r="I3" s="8">
        <f t="shared" ref="I3:I32" si="4">$B3*(1+(1/13)+(((I$1-2018)^2)/(((2012-2018)^2)+((2013-2018)^2)+((2014-2018)^2)+((2015-2018)^2)+((2016-2018)^2)+((2017-2018)^2)+((2018-2018)^2)+((2019-2018)^2)+((2020-2018)^2)+((2021-2018)^2)+((2022-2018)^2)+((2023-2018)^2)+((2024-2018)^2))))</f>
        <v>498529.384840642</v>
      </c>
      <c r="J3" s="8">
        <f t="shared" ref="J3:J32" si="5">$B3*(1+(1/13)+(((J$1-2018)^2)/(((2012-2018)^2)+((2013-2018)^2)+((2014-2018)^2)+((2015-2018)^2)+((2016-2018)^2)+((2017-2018)^2)+((2018-2018)^2)+((2019-2018)^2)+((2020-2018)^2)+((2021-2018)^2)+((2022-2018)^2)+((2023-2018)^2)+((2024-2018)^2))))</f>
        <v>486370.131551846</v>
      </c>
      <c r="K3" s="8">
        <f t="shared" ref="K3:K32" si="6">$B3*(1+(1/13)+(((K$1-2018)^2)/(((2012-2018)^2)+((2013-2018)^2)+((2014-2018)^2)+((2015-2018)^2)+((2016-2018)^2)+((2017-2018)^2)+((2018-2018)^2)+((2019-2018)^2)+((2020-2018)^2)+((2021-2018)^2)+((2022-2018)^2)+((2023-2018)^2)+((2024-2018)^2))))</f>
        <v>479074.579578568</v>
      </c>
      <c r="L3" s="8">
        <f t="shared" ref="L3:L32" si="7">$B3*(1+(1/13)+(((L$1-2018)^2)/(((2012-2018)^2)+((2013-2018)^2)+((2014-2018)^2)+((2015-2018)^2)+((2016-2018)^2)+((2017-2018)^2)+((2018-2018)^2)+((2019-2018)^2)+((2020-2018)^2)+((2021-2018)^2)+((2022-2018)^2)+((2023-2018)^2)+((2024-2018)^2))))</f>
        <v>476642.728920809</v>
      </c>
      <c r="M3" s="8">
        <f t="shared" ref="M3:M32" si="8">$B3*(1+(1/13)+(((M$1-2018)^2)/(((2012-2018)^2)+((2013-2018)^2)+((2014-2018)^2)+((2015-2018)^2)+((2016-2018)^2)+((2017-2018)^2)+((2018-2018)^2)+((2019-2018)^2)+((2020-2018)^2)+((2021-2018)^2)+((2022-2018)^2)+((2023-2018)^2)+((2024-2018)^2))))</f>
        <v>479074.579578568</v>
      </c>
      <c r="N3" s="8">
        <f t="shared" ref="N3:N32" si="9">$B3*(1+(1/13)+(((N$1-2018)^2)/(((2012-2018)^2)+((2013-2018)^2)+((2014-2018)^2)+((2015-2018)^2)+((2016-2018)^2)+((2017-2018)^2)+((2018-2018)^2)+((2019-2018)^2)+((2020-2018)^2)+((2021-2018)^2)+((2022-2018)^2)+((2023-2018)^2)+((2024-2018)^2))))</f>
        <v>486370.131551846</v>
      </c>
      <c r="O3" s="8">
        <f t="shared" ref="O3:O32" si="10">$B3*(1+(1/13)+(((O$1-2018)^2)/(((2012-2018)^2)+((2013-2018)^2)+((2014-2018)^2)+((2015-2018)^2)+((2016-2018)^2)+((2017-2018)^2)+((2018-2018)^2)+((2019-2018)^2)+((2020-2018)^2)+((2021-2018)^2)+((2022-2018)^2)+((2023-2018)^2)+((2024-2018)^2))))</f>
        <v>498529.384840642</v>
      </c>
      <c r="P3" s="8">
        <f t="shared" ref="P3:P32" si="11">$B3*(1+(1/13)+(((P$1-2018)^2)/(((2012-2018)^2)+((2013-2018)^2)+((2014-2018)^2)+((2015-2018)^2)+((2016-2018)^2)+((2017-2018)^2)+((2018-2018)^2)+((2019-2018)^2)+((2020-2018)^2)+((2021-2018)^2)+((2022-2018)^2)+((2023-2018)^2)+((2024-2018)^2))))</f>
        <v>515552.339444956</v>
      </c>
      <c r="Q3" s="8">
        <f t="shared" ref="Q3:Q32" si="12">$B3*(1+(1/13)+(((Q$1-2018)^2)/(((2012-2018)^2)+((2013-2018)^2)+((2014-2018)^2)+((2015-2018)^2)+((2016-2018)^2)+((2017-2018)^2)+((2018-2018)^2)+((2019-2018)^2)+((2020-2018)^2)+((2021-2018)^2)+((2022-2018)^2)+((2023-2018)^2)+((2024-2018)^2))))</f>
        <v>537438.995364789</v>
      </c>
      <c r="R3" s="8">
        <f t="shared" ref="R3:R32" si="13">$B3*(1+(1/13)+(((R$1-2018)^2)/(((2012-2018)^2)+((2013-2018)^2)+((2014-2018)^2)+((2015-2018)^2)+((2016-2018)^2)+((2017-2018)^2)+((2018-2018)^2)+((2019-2018)^2)+((2020-2018)^2)+((2021-2018)^2)+((2022-2018)^2)+((2023-2018)^2)+((2024-2018)^2))))</f>
        <v>564189.352600141</v>
      </c>
    </row>
    <row r="4" spans="1:18">
      <c r="A4" s="8">
        <v>3.49294051926473e-8</v>
      </c>
      <c r="B4" s="8">
        <v>692398.759171029</v>
      </c>
      <c r="C4" s="8">
        <v>831.376014340664</v>
      </c>
      <c r="D4" s="8">
        <v>-1671393.52325023</v>
      </c>
      <c r="E4" s="6" t="s">
        <v>7</v>
      </c>
      <c r="F4" s="8">
        <f t="shared" si="1"/>
        <v>882618.19850373</v>
      </c>
      <c r="G4" s="8">
        <f t="shared" si="2"/>
        <v>840769.921850536</v>
      </c>
      <c r="H4" s="8">
        <f t="shared" si="3"/>
        <v>806530.42277065</v>
      </c>
      <c r="I4" s="8">
        <f t="shared" si="4"/>
        <v>779899.701264072</v>
      </c>
      <c r="J4" s="8">
        <f t="shared" si="5"/>
        <v>760877.757330801</v>
      </c>
      <c r="K4" s="8">
        <f t="shared" si="6"/>
        <v>749464.590970839</v>
      </c>
      <c r="L4" s="8">
        <f t="shared" si="7"/>
        <v>745660.202184185</v>
      </c>
      <c r="M4" s="8">
        <f t="shared" si="8"/>
        <v>749464.590970839</v>
      </c>
      <c r="N4" s="8">
        <f t="shared" si="9"/>
        <v>760877.757330801</v>
      </c>
      <c r="O4" s="8">
        <f t="shared" si="10"/>
        <v>779899.701264072</v>
      </c>
      <c r="P4" s="8">
        <f t="shared" si="11"/>
        <v>806530.42277065</v>
      </c>
      <c r="Q4" s="8">
        <f t="shared" si="12"/>
        <v>840769.921850536</v>
      </c>
      <c r="R4" s="8">
        <f t="shared" si="13"/>
        <v>882618.19850373</v>
      </c>
    </row>
    <row r="5" spans="1:18">
      <c r="A5" s="8">
        <v>7.81888183734578e-7</v>
      </c>
      <c r="B5" s="8">
        <v>109891.939821262</v>
      </c>
      <c r="C5" s="8">
        <v>244.349670274726</v>
      </c>
      <c r="D5" s="8">
        <v>-491133.26881209</v>
      </c>
      <c r="E5" s="6" t="s">
        <v>8</v>
      </c>
      <c r="F5" s="8">
        <f t="shared" si="1"/>
        <v>140082.033178751</v>
      </c>
      <c r="G5" s="8">
        <f t="shared" si="2"/>
        <v>133440.212640103</v>
      </c>
      <c r="H5" s="8">
        <f t="shared" si="3"/>
        <v>128005.995835755</v>
      </c>
      <c r="I5" s="8">
        <f t="shared" si="4"/>
        <v>123779.382765707</v>
      </c>
      <c r="J5" s="8">
        <f t="shared" si="5"/>
        <v>120760.373429958</v>
      </c>
      <c r="K5" s="8">
        <f t="shared" si="6"/>
        <v>118948.967828508</v>
      </c>
      <c r="L5" s="8">
        <f t="shared" si="7"/>
        <v>118345.165961359</v>
      </c>
      <c r="M5" s="8">
        <f t="shared" si="8"/>
        <v>118948.967828508</v>
      </c>
      <c r="N5" s="8">
        <f t="shared" si="9"/>
        <v>120760.373429958</v>
      </c>
      <c r="O5" s="8">
        <f t="shared" si="10"/>
        <v>123779.382765707</v>
      </c>
      <c r="P5" s="8">
        <f t="shared" si="11"/>
        <v>128005.995835755</v>
      </c>
      <c r="Q5" s="8">
        <f t="shared" si="12"/>
        <v>133440.212640103</v>
      </c>
      <c r="R5" s="8">
        <f t="shared" si="13"/>
        <v>140082.033178751</v>
      </c>
    </row>
    <row r="6" spans="1:18">
      <c r="A6" s="8">
        <v>4.55218365650315e-5</v>
      </c>
      <c r="B6" s="8">
        <v>200062.725153686</v>
      </c>
      <c r="C6" s="8">
        <v>214.835784010991</v>
      </c>
      <c r="D6" s="8">
        <v>-432137.721769564</v>
      </c>
      <c r="E6" s="6" t="s">
        <v>9</v>
      </c>
      <c r="F6" s="8">
        <f t="shared" si="1"/>
        <v>255025.01228382</v>
      </c>
      <c r="G6" s="8">
        <f t="shared" si="2"/>
        <v>242933.309115191</v>
      </c>
      <c r="H6" s="8">
        <f t="shared" si="3"/>
        <v>233040.097431767</v>
      </c>
      <c r="I6" s="8">
        <f t="shared" si="4"/>
        <v>225345.377233548</v>
      </c>
      <c r="J6" s="8">
        <f t="shared" si="5"/>
        <v>219849.148520534</v>
      </c>
      <c r="K6" s="8">
        <f t="shared" si="6"/>
        <v>216551.411292726</v>
      </c>
      <c r="L6" s="8">
        <f t="shared" si="7"/>
        <v>215452.165550124</v>
      </c>
      <c r="M6" s="8">
        <f t="shared" si="8"/>
        <v>216551.411292726</v>
      </c>
      <c r="N6" s="8">
        <f t="shared" si="9"/>
        <v>219849.148520534</v>
      </c>
      <c r="O6" s="8">
        <f t="shared" si="10"/>
        <v>225345.377233548</v>
      </c>
      <c r="P6" s="8">
        <f t="shared" si="11"/>
        <v>233040.097431767</v>
      </c>
      <c r="Q6" s="8">
        <f t="shared" si="12"/>
        <v>242933.309115191</v>
      </c>
      <c r="R6" s="8">
        <f t="shared" si="13"/>
        <v>255025.01228382</v>
      </c>
    </row>
    <row r="7" spans="1:18">
      <c r="A7" s="8">
        <v>0.000596372704995245</v>
      </c>
      <c r="B7" s="8">
        <v>156324.930491665</v>
      </c>
      <c r="C7" s="8">
        <v>139.311394395604</v>
      </c>
      <c r="D7" s="8">
        <v>-276921.015813406</v>
      </c>
      <c r="E7" s="6" t="s">
        <v>10</v>
      </c>
      <c r="F7" s="8">
        <f t="shared" si="1"/>
        <v>199271.339967397</v>
      </c>
      <c r="G7" s="8">
        <f t="shared" si="2"/>
        <v>189823.129882736</v>
      </c>
      <c r="H7" s="8">
        <f t="shared" si="3"/>
        <v>182092.776177104</v>
      </c>
      <c r="I7" s="8">
        <f t="shared" si="4"/>
        <v>176080.278850502</v>
      </c>
      <c r="J7" s="8">
        <f t="shared" si="5"/>
        <v>171785.637902929</v>
      </c>
      <c r="K7" s="8">
        <f t="shared" si="6"/>
        <v>169208.853334385</v>
      </c>
      <c r="L7" s="8">
        <f t="shared" si="7"/>
        <v>168349.92514487</v>
      </c>
      <c r="M7" s="8">
        <f t="shared" si="8"/>
        <v>169208.853334385</v>
      </c>
      <c r="N7" s="8">
        <f t="shared" si="9"/>
        <v>171785.637902929</v>
      </c>
      <c r="O7" s="8">
        <f t="shared" si="10"/>
        <v>176080.278850502</v>
      </c>
      <c r="P7" s="8">
        <f t="shared" si="11"/>
        <v>182092.776177104</v>
      </c>
      <c r="Q7" s="8">
        <f t="shared" si="12"/>
        <v>189823.129882736</v>
      </c>
      <c r="R7" s="8">
        <f t="shared" si="13"/>
        <v>199271.339967397</v>
      </c>
    </row>
    <row r="8" spans="1:18">
      <c r="A8" s="10">
        <v>0.296906724526536</v>
      </c>
      <c r="B8" s="8">
        <v>380288.166028799</v>
      </c>
      <c r="C8" s="8">
        <v>50.0542406043959</v>
      </c>
      <c r="D8" s="8">
        <v>-98940.1248273633</v>
      </c>
      <c r="E8" s="6" t="s">
        <v>11</v>
      </c>
      <c r="F8" s="8">
        <f t="shared" si="1"/>
        <v>484762.936915831</v>
      </c>
      <c r="G8" s="8">
        <f t="shared" si="2"/>
        <v>461778.487320684</v>
      </c>
      <c r="H8" s="8">
        <f t="shared" si="3"/>
        <v>442973.028561018</v>
      </c>
      <c r="I8" s="8">
        <f t="shared" si="4"/>
        <v>428346.560636834</v>
      </c>
      <c r="J8" s="8">
        <f t="shared" si="5"/>
        <v>417899.08354813</v>
      </c>
      <c r="K8" s="8">
        <f t="shared" si="6"/>
        <v>411630.597294908</v>
      </c>
      <c r="L8" s="8">
        <f t="shared" si="7"/>
        <v>409541.101877168</v>
      </c>
      <c r="M8" s="8">
        <f t="shared" si="8"/>
        <v>411630.597294908</v>
      </c>
      <c r="N8" s="8">
        <f t="shared" si="9"/>
        <v>417899.08354813</v>
      </c>
      <c r="O8" s="8">
        <f t="shared" si="10"/>
        <v>428346.560636834</v>
      </c>
      <c r="P8" s="8">
        <f t="shared" si="11"/>
        <v>442973.028561018</v>
      </c>
      <c r="Q8" s="8">
        <f t="shared" si="12"/>
        <v>461778.487320684</v>
      </c>
      <c r="R8" s="8">
        <f t="shared" si="13"/>
        <v>484762.936915831</v>
      </c>
    </row>
    <row r="9" spans="1:18">
      <c r="A9" s="8">
        <v>0.000212887069537914</v>
      </c>
      <c r="B9" s="8">
        <v>31242.4154122421</v>
      </c>
      <c r="C9" s="8">
        <v>70.9021209890113</v>
      </c>
      <c r="D9" s="8">
        <v>-142276.771828133</v>
      </c>
      <c r="E9" s="6" t="s">
        <v>12</v>
      </c>
      <c r="F9" s="8">
        <f t="shared" si="1"/>
        <v>39825.4965694515</v>
      </c>
      <c r="G9" s="8">
        <f t="shared" si="2"/>
        <v>37937.2187148654</v>
      </c>
      <c r="H9" s="8">
        <f t="shared" si="3"/>
        <v>36392.2641065677</v>
      </c>
      <c r="I9" s="8">
        <f t="shared" si="4"/>
        <v>35190.6327445584</v>
      </c>
      <c r="J9" s="8">
        <f t="shared" si="5"/>
        <v>34332.3246288375</v>
      </c>
      <c r="K9" s="8">
        <f t="shared" si="6"/>
        <v>33817.3397594049</v>
      </c>
      <c r="L9" s="8">
        <f t="shared" si="7"/>
        <v>33645.6781362607</v>
      </c>
      <c r="M9" s="8">
        <f t="shared" si="8"/>
        <v>33817.3397594049</v>
      </c>
      <c r="N9" s="8">
        <f t="shared" si="9"/>
        <v>34332.3246288375</v>
      </c>
      <c r="O9" s="8">
        <f t="shared" si="10"/>
        <v>35190.6327445584</v>
      </c>
      <c r="P9" s="8">
        <f t="shared" si="11"/>
        <v>36392.2641065677</v>
      </c>
      <c r="Q9" s="8">
        <f t="shared" si="12"/>
        <v>37937.2187148654</v>
      </c>
      <c r="R9" s="8">
        <f t="shared" si="13"/>
        <v>39825.4965694515</v>
      </c>
    </row>
    <row r="10" spans="1:18">
      <c r="A10" s="8">
        <v>2.18246736145785e-5</v>
      </c>
      <c r="B10" s="8">
        <v>312377.880426042</v>
      </c>
      <c r="C10" s="8">
        <v>291.247605329671</v>
      </c>
      <c r="D10" s="8">
        <v>-578319.291326815</v>
      </c>
      <c r="E10" s="6" t="s">
        <v>13</v>
      </c>
      <c r="F10" s="8">
        <f t="shared" si="1"/>
        <v>398195.979444186</v>
      </c>
      <c r="G10" s="8">
        <f t="shared" si="2"/>
        <v>379315.997660194</v>
      </c>
      <c r="H10" s="8">
        <f t="shared" si="3"/>
        <v>363868.739836929</v>
      </c>
      <c r="I10" s="8">
        <f t="shared" si="4"/>
        <v>351854.205974389</v>
      </c>
      <c r="J10" s="8">
        <f t="shared" si="5"/>
        <v>343272.396072574</v>
      </c>
      <c r="K10" s="8">
        <f t="shared" si="6"/>
        <v>338123.310131486</v>
      </c>
      <c r="L10" s="8">
        <f t="shared" si="7"/>
        <v>336406.948151123</v>
      </c>
      <c r="M10" s="8">
        <f t="shared" si="8"/>
        <v>338123.310131486</v>
      </c>
      <c r="N10" s="8">
        <f t="shared" si="9"/>
        <v>343272.396072574</v>
      </c>
      <c r="O10" s="8">
        <f t="shared" si="10"/>
        <v>351854.205974389</v>
      </c>
      <c r="P10" s="8">
        <f t="shared" si="11"/>
        <v>363868.739836929</v>
      </c>
      <c r="Q10" s="8">
        <f t="shared" si="12"/>
        <v>379315.997660194</v>
      </c>
      <c r="R10" s="8">
        <f t="shared" si="13"/>
        <v>398195.979444186</v>
      </c>
    </row>
    <row r="11" spans="1:18">
      <c r="A11" s="8">
        <v>8.70250995197091e-8</v>
      </c>
      <c r="B11" s="8">
        <v>10394462.6956862</v>
      </c>
      <c r="C11" s="8">
        <v>2949.75959642859</v>
      </c>
      <c r="D11" s="8">
        <v>-5919196.10232442</v>
      </c>
      <c r="E11" s="6" t="s">
        <v>14</v>
      </c>
      <c r="F11" s="8">
        <f t="shared" si="1"/>
        <v>13250084.3153802</v>
      </c>
      <c r="G11" s="8">
        <f t="shared" si="2"/>
        <v>12621847.5590475</v>
      </c>
      <c r="H11" s="8">
        <f t="shared" si="3"/>
        <v>12107835.6675026</v>
      </c>
      <c r="I11" s="8">
        <f t="shared" si="4"/>
        <v>11708048.6407454</v>
      </c>
      <c r="J11" s="8">
        <f t="shared" si="5"/>
        <v>11422486.478776</v>
      </c>
      <c r="K11" s="8">
        <f t="shared" si="6"/>
        <v>11251149.1815944</v>
      </c>
      <c r="L11" s="8">
        <f t="shared" si="7"/>
        <v>11194036.7492005</v>
      </c>
      <c r="M11" s="8">
        <f t="shared" si="8"/>
        <v>11251149.1815944</v>
      </c>
      <c r="N11" s="8">
        <f t="shared" si="9"/>
        <v>11422486.478776</v>
      </c>
      <c r="O11" s="8">
        <f t="shared" si="10"/>
        <v>11708048.6407454</v>
      </c>
      <c r="P11" s="8">
        <f t="shared" si="11"/>
        <v>12107835.6675026</v>
      </c>
      <c r="Q11" s="8">
        <f t="shared" si="12"/>
        <v>12621847.5590475</v>
      </c>
      <c r="R11" s="8">
        <f t="shared" si="13"/>
        <v>13250084.3153802</v>
      </c>
    </row>
    <row r="12" spans="1:18">
      <c r="A12" s="8">
        <v>1.38469713405545e-8</v>
      </c>
      <c r="B12" s="8">
        <v>6377047.76605779</v>
      </c>
      <c r="C12" s="8">
        <v>2756.28408857144</v>
      </c>
      <c r="D12" s="8">
        <v>-5535601.32795178</v>
      </c>
      <c r="E12" s="6" t="s">
        <v>15</v>
      </c>
      <c r="F12" s="8">
        <f t="shared" si="1"/>
        <v>8128983.96552422</v>
      </c>
      <c r="G12" s="8">
        <f t="shared" si="2"/>
        <v>7743558.0016416</v>
      </c>
      <c r="H12" s="8">
        <f t="shared" si="3"/>
        <v>7428209.48573765</v>
      </c>
      <c r="I12" s="8">
        <f t="shared" si="4"/>
        <v>7182938.41781235</v>
      </c>
      <c r="J12" s="8">
        <f t="shared" si="5"/>
        <v>7007744.7978657</v>
      </c>
      <c r="K12" s="8">
        <f t="shared" si="6"/>
        <v>6902628.62589772</v>
      </c>
      <c r="L12" s="8">
        <f t="shared" si="7"/>
        <v>6867589.90190839</v>
      </c>
      <c r="M12" s="8">
        <f t="shared" si="8"/>
        <v>6902628.62589772</v>
      </c>
      <c r="N12" s="8">
        <f t="shared" si="9"/>
        <v>7007744.7978657</v>
      </c>
      <c r="O12" s="8">
        <f t="shared" si="10"/>
        <v>7182938.41781235</v>
      </c>
      <c r="P12" s="8">
        <f t="shared" si="11"/>
        <v>7428209.48573765</v>
      </c>
      <c r="Q12" s="8">
        <f t="shared" si="12"/>
        <v>7743558.0016416</v>
      </c>
      <c r="R12" s="8">
        <f t="shared" si="13"/>
        <v>8128983.96552422</v>
      </c>
    </row>
    <row r="13" spans="1:18">
      <c r="A13" s="8">
        <v>1.24714794686715e-8</v>
      </c>
      <c r="B13" s="8">
        <v>1625559.12349078</v>
      </c>
      <c r="C13" s="8">
        <v>1405.52003109891</v>
      </c>
      <c r="D13" s="8">
        <v>-2825712.00121606</v>
      </c>
      <c r="E13" s="6" t="s">
        <v>16</v>
      </c>
      <c r="F13" s="8">
        <f t="shared" si="1"/>
        <v>2072141.30027396</v>
      </c>
      <c r="G13" s="8">
        <f t="shared" si="2"/>
        <v>1973893.22138166</v>
      </c>
      <c r="H13" s="8">
        <f t="shared" si="3"/>
        <v>1893508.42956069</v>
      </c>
      <c r="I13" s="8">
        <f t="shared" si="4"/>
        <v>1830986.92481105</v>
      </c>
      <c r="J13" s="8">
        <f t="shared" si="5"/>
        <v>1786328.70713273</v>
      </c>
      <c r="K13" s="8">
        <f t="shared" si="6"/>
        <v>1759533.77652574</v>
      </c>
      <c r="L13" s="8">
        <f t="shared" si="7"/>
        <v>1750602.13299007</v>
      </c>
      <c r="M13" s="8">
        <f t="shared" si="8"/>
        <v>1759533.77652574</v>
      </c>
      <c r="N13" s="8">
        <f t="shared" si="9"/>
        <v>1786328.70713273</v>
      </c>
      <c r="O13" s="8">
        <f t="shared" si="10"/>
        <v>1830986.92481105</v>
      </c>
      <c r="P13" s="8">
        <f t="shared" si="11"/>
        <v>1893508.42956069</v>
      </c>
      <c r="Q13" s="8">
        <f t="shared" si="12"/>
        <v>1973893.22138166</v>
      </c>
      <c r="R13" s="8">
        <f t="shared" si="13"/>
        <v>2072141.30027396</v>
      </c>
    </row>
    <row r="14" spans="1:18">
      <c r="A14" s="8">
        <v>5.79784654469851e-8</v>
      </c>
      <c r="B14" s="8">
        <v>238464.786351308</v>
      </c>
      <c r="C14" s="8">
        <v>464.68120324176</v>
      </c>
      <c r="D14" s="8">
        <v>-932286.283745717</v>
      </c>
      <c r="E14" s="6" t="s">
        <v>17</v>
      </c>
      <c r="F14" s="8">
        <f t="shared" si="1"/>
        <v>303977.090293975</v>
      </c>
      <c r="G14" s="8">
        <f t="shared" si="2"/>
        <v>289564.383426588</v>
      </c>
      <c r="H14" s="8">
        <f t="shared" si="3"/>
        <v>277772.168716908</v>
      </c>
      <c r="I14" s="8">
        <f t="shared" si="4"/>
        <v>268600.446164935</v>
      </c>
      <c r="J14" s="8">
        <f t="shared" si="5"/>
        <v>262049.215770668</v>
      </c>
      <c r="K14" s="8">
        <f t="shared" si="6"/>
        <v>258118.477534108</v>
      </c>
      <c r="L14" s="8">
        <f t="shared" si="7"/>
        <v>256808.231455255</v>
      </c>
      <c r="M14" s="8">
        <f t="shared" si="8"/>
        <v>258118.477534108</v>
      </c>
      <c r="N14" s="8">
        <f t="shared" si="9"/>
        <v>262049.215770668</v>
      </c>
      <c r="O14" s="8">
        <f t="shared" si="10"/>
        <v>268600.446164935</v>
      </c>
      <c r="P14" s="8">
        <f t="shared" si="11"/>
        <v>277772.168716908</v>
      </c>
      <c r="Q14" s="8">
        <f t="shared" si="12"/>
        <v>289564.383426588</v>
      </c>
      <c r="R14" s="8">
        <f t="shared" si="13"/>
        <v>303977.090293975</v>
      </c>
    </row>
    <row r="15" spans="1:18">
      <c r="A15" s="8">
        <v>4.39102824324488e-8</v>
      </c>
      <c r="B15" s="8">
        <v>1254560.71970013</v>
      </c>
      <c r="C15" s="8">
        <v>1094.75527285715</v>
      </c>
      <c r="D15" s="8">
        <v>-2203146.00209188</v>
      </c>
      <c r="E15" s="6" t="s">
        <v>18</v>
      </c>
      <c r="F15" s="8">
        <f t="shared" si="1"/>
        <v>1599220.25807929</v>
      </c>
      <c r="G15" s="8">
        <f t="shared" si="2"/>
        <v>1523395.15963588</v>
      </c>
      <c r="H15" s="8">
        <f t="shared" si="3"/>
        <v>1461356.44272763</v>
      </c>
      <c r="I15" s="8">
        <f t="shared" si="4"/>
        <v>1413104.10735455</v>
      </c>
      <c r="J15" s="8">
        <f t="shared" si="5"/>
        <v>1378638.15351663</v>
      </c>
      <c r="K15" s="8">
        <f t="shared" si="6"/>
        <v>1357958.58121388</v>
      </c>
      <c r="L15" s="8">
        <f t="shared" si="7"/>
        <v>1351065.3904463</v>
      </c>
      <c r="M15" s="8">
        <f t="shared" si="8"/>
        <v>1357958.58121388</v>
      </c>
      <c r="N15" s="8">
        <f t="shared" si="9"/>
        <v>1378638.15351663</v>
      </c>
      <c r="O15" s="8">
        <f t="shared" si="10"/>
        <v>1413104.10735455</v>
      </c>
      <c r="P15" s="8">
        <f t="shared" si="11"/>
        <v>1461356.44272763</v>
      </c>
      <c r="Q15" s="8">
        <f t="shared" si="12"/>
        <v>1523395.15963588</v>
      </c>
      <c r="R15" s="8">
        <f t="shared" si="13"/>
        <v>1599220.25807929</v>
      </c>
    </row>
    <row r="16" spans="1:18">
      <c r="A16" s="8">
        <v>0.000559542047196646</v>
      </c>
      <c r="B16" s="8">
        <v>48536043.6641966</v>
      </c>
      <c r="C16" s="8">
        <v>2475.19731054947</v>
      </c>
      <c r="D16" s="8">
        <v>-4972762.91797652</v>
      </c>
      <c r="E16" s="6" t="s">
        <v>19</v>
      </c>
      <c r="F16" s="8">
        <f t="shared" si="1"/>
        <v>61870121.5939209</v>
      </c>
      <c r="G16" s="8">
        <f t="shared" si="2"/>
        <v>58936624.4493816</v>
      </c>
      <c r="H16" s="8">
        <f t="shared" si="3"/>
        <v>56536490.4220312</v>
      </c>
      <c r="I16" s="8">
        <f t="shared" si="4"/>
        <v>54669719.5118698</v>
      </c>
      <c r="J16" s="8">
        <f t="shared" si="5"/>
        <v>53336311.7188974</v>
      </c>
      <c r="K16" s="8">
        <f t="shared" si="6"/>
        <v>52536267.0431139</v>
      </c>
      <c r="L16" s="8">
        <f t="shared" si="7"/>
        <v>52269585.4845194</v>
      </c>
      <c r="M16" s="8">
        <f t="shared" si="8"/>
        <v>52536267.0431139</v>
      </c>
      <c r="N16" s="8">
        <f t="shared" si="9"/>
        <v>53336311.7188974</v>
      </c>
      <c r="O16" s="8">
        <f t="shared" si="10"/>
        <v>54669719.5118698</v>
      </c>
      <c r="P16" s="8">
        <f t="shared" si="11"/>
        <v>56536490.4220312</v>
      </c>
      <c r="Q16" s="8">
        <f t="shared" si="12"/>
        <v>58936624.4493816</v>
      </c>
      <c r="R16" s="8">
        <f t="shared" si="13"/>
        <v>61870121.5939209</v>
      </c>
    </row>
    <row r="17" spans="1:18">
      <c r="A17" s="8">
        <v>3.38877870157411e-7</v>
      </c>
      <c r="B17" s="8">
        <v>494263.931648441</v>
      </c>
      <c r="C17" s="8">
        <v>563.142861483517</v>
      </c>
      <c r="D17" s="8">
        <v>-1129275.92103374</v>
      </c>
      <c r="E17" s="6" t="s">
        <v>20</v>
      </c>
      <c r="F17" s="8">
        <f t="shared" si="1"/>
        <v>630050.726057353</v>
      </c>
      <c r="G17" s="8">
        <f t="shared" si="2"/>
        <v>600177.631287392</v>
      </c>
      <c r="H17" s="8">
        <f t="shared" si="3"/>
        <v>575736.008293788</v>
      </c>
      <c r="I17" s="8">
        <f t="shared" si="4"/>
        <v>556725.85707654</v>
      </c>
      <c r="J17" s="8">
        <f t="shared" si="5"/>
        <v>543147.177635649</v>
      </c>
      <c r="K17" s="8">
        <f t="shared" si="6"/>
        <v>534999.969971114</v>
      </c>
      <c r="L17" s="8">
        <f t="shared" si="7"/>
        <v>532284.234082936</v>
      </c>
      <c r="M17" s="8">
        <f t="shared" si="8"/>
        <v>534999.969971114</v>
      </c>
      <c r="N17" s="8">
        <f t="shared" si="9"/>
        <v>543147.177635649</v>
      </c>
      <c r="O17" s="8">
        <f t="shared" si="10"/>
        <v>556725.85707654</v>
      </c>
      <c r="P17" s="8">
        <f t="shared" si="11"/>
        <v>575736.008293788</v>
      </c>
      <c r="Q17" s="8">
        <f t="shared" si="12"/>
        <v>600177.631287392</v>
      </c>
      <c r="R17" s="8">
        <f t="shared" si="13"/>
        <v>630050.726057353</v>
      </c>
    </row>
    <row r="18" spans="1:18">
      <c r="A18" s="8">
        <v>9.25088823140748e-9</v>
      </c>
      <c r="B18" s="8">
        <v>938485.874386857</v>
      </c>
      <c r="C18" s="8">
        <v>1098.6725</v>
      </c>
      <c r="D18" s="8">
        <v>-2207745.74413539</v>
      </c>
      <c r="E18" s="6" t="s">
        <v>21</v>
      </c>
      <c r="F18" s="8">
        <f t="shared" si="1"/>
        <v>1196311.66405358</v>
      </c>
      <c r="G18" s="8">
        <f t="shared" si="2"/>
        <v>1139589.9903269</v>
      </c>
      <c r="H18" s="8">
        <f t="shared" si="3"/>
        <v>1093181.34818689</v>
      </c>
      <c r="I18" s="8">
        <f t="shared" si="4"/>
        <v>1057085.73763355</v>
      </c>
      <c r="J18" s="8">
        <f t="shared" si="5"/>
        <v>1031303.15866688</v>
      </c>
      <c r="K18" s="8">
        <f t="shared" si="6"/>
        <v>1015833.61128687</v>
      </c>
      <c r="L18" s="8">
        <f t="shared" si="7"/>
        <v>1010677.09549354</v>
      </c>
      <c r="M18" s="8">
        <f t="shared" si="8"/>
        <v>1015833.61128687</v>
      </c>
      <c r="N18" s="8">
        <f t="shared" si="9"/>
        <v>1031303.15866688</v>
      </c>
      <c r="O18" s="8">
        <f t="shared" si="10"/>
        <v>1057085.73763355</v>
      </c>
      <c r="P18" s="8">
        <f t="shared" si="11"/>
        <v>1093181.34818689</v>
      </c>
      <c r="Q18" s="8">
        <f t="shared" si="12"/>
        <v>1139589.9903269</v>
      </c>
      <c r="R18" s="8">
        <f t="shared" si="13"/>
        <v>1196311.66405358</v>
      </c>
    </row>
    <row r="19" spans="1:18">
      <c r="A19" s="8">
        <v>9.97416152316199e-6</v>
      </c>
      <c r="B19" s="8">
        <v>2819865.16259322</v>
      </c>
      <c r="C19" s="8">
        <v>952.175255164841</v>
      </c>
      <c r="D19" s="8">
        <v>-1911911.55555803</v>
      </c>
      <c r="E19" s="6" t="s">
        <v>22</v>
      </c>
      <c r="F19" s="8">
        <f t="shared" si="1"/>
        <v>3594553.39407487</v>
      </c>
      <c r="G19" s="8">
        <f t="shared" si="2"/>
        <v>3424121.9831489</v>
      </c>
      <c r="H19" s="8">
        <f t="shared" si="3"/>
        <v>3284678.10148221</v>
      </c>
      <c r="I19" s="8">
        <f t="shared" si="4"/>
        <v>3176221.74907478</v>
      </c>
      <c r="J19" s="8">
        <f t="shared" si="5"/>
        <v>3098752.92592661</v>
      </c>
      <c r="K19" s="8">
        <f t="shared" si="6"/>
        <v>3052271.63203771</v>
      </c>
      <c r="L19" s="8">
        <f t="shared" si="7"/>
        <v>3036777.86740808</v>
      </c>
      <c r="M19" s="8">
        <f t="shared" si="8"/>
        <v>3052271.63203771</v>
      </c>
      <c r="N19" s="8">
        <f t="shared" si="9"/>
        <v>3098752.92592661</v>
      </c>
      <c r="O19" s="8">
        <f t="shared" si="10"/>
        <v>3176221.74907478</v>
      </c>
      <c r="P19" s="8">
        <f t="shared" si="11"/>
        <v>3284678.10148221</v>
      </c>
      <c r="Q19" s="8">
        <f t="shared" si="12"/>
        <v>3424121.9831489</v>
      </c>
      <c r="R19" s="8">
        <f t="shared" si="13"/>
        <v>3594553.39407487</v>
      </c>
    </row>
    <row r="20" spans="1:18">
      <c r="A20" s="8">
        <v>4.8130620042853e-10</v>
      </c>
      <c r="B20" s="8">
        <v>5520052.01535486</v>
      </c>
      <c r="C20" s="8">
        <v>3517.25114956045</v>
      </c>
      <c r="D20" s="8">
        <v>-7061544.94204377</v>
      </c>
      <c r="E20" s="6" t="s">
        <v>23</v>
      </c>
      <c r="F20" s="8">
        <f t="shared" si="1"/>
        <v>7036549.82177103</v>
      </c>
      <c r="G20" s="8">
        <f t="shared" si="2"/>
        <v>6702920.30435947</v>
      </c>
      <c r="H20" s="8">
        <f t="shared" si="3"/>
        <v>6429950.69920456</v>
      </c>
      <c r="I20" s="8">
        <f t="shared" si="4"/>
        <v>6217641.00630629</v>
      </c>
      <c r="J20" s="8">
        <f t="shared" si="5"/>
        <v>6065991.22566468</v>
      </c>
      <c r="K20" s="8">
        <f t="shared" si="6"/>
        <v>5975001.35727971</v>
      </c>
      <c r="L20" s="8">
        <f t="shared" si="7"/>
        <v>5944671.40115138</v>
      </c>
      <c r="M20" s="8">
        <f t="shared" si="8"/>
        <v>5975001.35727971</v>
      </c>
      <c r="N20" s="8">
        <f t="shared" si="9"/>
        <v>6065991.22566468</v>
      </c>
      <c r="O20" s="8">
        <f t="shared" si="10"/>
        <v>6217641.00630629</v>
      </c>
      <c r="P20" s="8">
        <f t="shared" si="11"/>
        <v>6429950.69920456</v>
      </c>
      <c r="Q20" s="8">
        <f t="shared" si="12"/>
        <v>6702920.30435947</v>
      </c>
      <c r="R20" s="8">
        <f t="shared" si="13"/>
        <v>7036549.82177103</v>
      </c>
    </row>
    <row r="21" spans="1:18">
      <c r="A21" s="8">
        <v>1.39258375463061e-5</v>
      </c>
      <c r="B21" s="8">
        <v>126405.429970331</v>
      </c>
      <c r="C21" s="8">
        <v>194.52193302198</v>
      </c>
      <c r="D21" s="8">
        <v>-390292.062950663</v>
      </c>
      <c r="E21" s="6" t="s">
        <v>24</v>
      </c>
      <c r="F21" s="8">
        <f t="shared" si="1"/>
        <v>161132.196445697</v>
      </c>
      <c r="G21" s="8">
        <f t="shared" si="2"/>
        <v>153492.307821116</v>
      </c>
      <c r="H21" s="8">
        <f t="shared" si="3"/>
        <v>147241.48985555</v>
      </c>
      <c r="I21" s="8">
        <f t="shared" si="4"/>
        <v>142379.742548999</v>
      </c>
      <c r="J21" s="8">
        <f t="shared" si="5"/>
        <v>138907.065901463</v>
      </c>
      <c r="K21" s="8">
        <f t="shared" si="6"/>
        <v>136823.459912941</v>
      </c>
      <c r="L21" s="8">
        <f t="shared" si="7"/>
        <v>136128.924583433</v>
      </c>
      <c r="M21" s="8">
        <f t="shared" si="8"/>
        <v>136823.459912941</v>
      </c>
      <c r="N21" s="8">
        <f t="shared" si="9"/>
        <v>138907.065901463</v>
      </c>
      <c r="O21" s="8">
        <f t="shared" si="10"/>
        <v>142379.742548999</v>
      </c>
      <c r="P21" s="8">
        <f t="shared" si="11"/>
        <v>147241.48985555</v>
      </c>
      <c r="Q21" s="8">
        <f t="shared" si="12"/>
        <v>153492.307821116</v>
      </c>
      <c r="R21" s="8">
        <f t="shared" si="13"/>
        <v>161132.196445697</v>
      </c>
    </row>
    <row r="22" spans="1:18">
      <c r="A22" s="8">
        <v>0.00590431803751678</v>
      </c>
      <c r="B22" s="8">
        <v>4809.52540977336</v>
      </c>
      <c r="C22" s="8">
        <v>17.4902903296704</v>
      </c>
      <c r="D22" s="8">
        <v>-35108.3004860442</v>
      </c>
      <c r="E22" s="6" t="s">
        <v>25</v>
      </c>
      <c r="F22" s="8">
        <f t="shared" si="1"/>
        <v>6130.82359927153</v>
      </c>
      <c r="G22" s="8">
        <f t="shared" si="2"/>
        <v>5840.13799758193</v>
      </c>
      <c r="H22" s="8">
        <f t="shared" si="3"/>
        <v>5602.30432347226</v>
      </c>
      <c r="I22" s="8">
        <f t="shared" si="4"/>
        <v>5417.32257694252</v>
      </c>
      <c r="J22" s="8">
        <f t="shared" si="5"/>
        <v>5285.1927579927</v>
      </c>
      <c r="K22" s="8">
        <f t="shared" si="6"/>
        <v>5205.91486662281</v>
      </c>
      <c r="L22" s="8">
        <f t="shared" si="7"/>
        <v>5179.48890283284</v>
      </c>
      <c r="M22" s="8">
        <f t="shared" si="8"/>
        <v>5205.91486662281</v>
      </c>
      <c r="N22" s="8">
        <f t="shared" si="9"/>
        <v>5285.1927579927</v>
      </c>
      <c r="O22" s="8">
        <f t="shared" si="10"/>
        <v>5417.32257694252</v>
      </c>
      <c r="P22" s="8">
        <f t="shared" si="11"/>
        <v>5602.30432347226</v>
      </c>
      <c r="Q22" s="8">
        <f t="shared" si="12"/>
        <v>5840.13799758193</v>
      </c>
      <c r="R22" s="8">
        <f t="shared" si="13"/>
        <v>6130.82359927153</v>
      </c>
    </row>
    <row r="23" spans="1:18">
      <c r="A23" s="8">
        <v>1.61108468273953e-6</v>
      </c>
      <c r="B23" s="8">
        <v>433846.596150039</v>
      </c>
      <c r="C23" s="8">
        <v>451.360641318684</v>
      </c>
      <c r="D23" s="8">
        <v>-905614.071546488</v>
      </c>
      <c r="E23" s="6" t="s">
        <v>26</v>
      </c>
      <c r="F23" s="8">
        <f t="shared" si="1"/>
        <v>553035.221465983</v>
      </c>
      <c r="G23" s="8">
        <f t="shared" si="2"/>
        <v>526813.723896475</v>
      </c>
      <c r="H23" s="8">
        <f t="shared" si="3"/>
        <v>505359.771339605</v>
      </c>
      <c r="I23" s="8">
        <f t="shared" si="4"/>
        <v>488673.363795373</v>
      </c>
      <c r="J23" s="8">
        <f t="shared" si="5"/>
        <v>476754.501263779</v>
      </c>
      <c r="K23" s="8">
        <f t="shared" si="6"/>
        <v>469603.183744822</v>
      </c>
      <c r="L23" s="8">
        <f t="shared" si="7"/>
        <v>467219.411238503</v>
      </c>
      <c r="M23" s="8">
        <f t="shared" si="8"/>
        <v>469603.183744822</v>
      </c>
      <c r="N23" s="8">
        <f t="shared" si="9"/>
        <v>476754.501263779</v>
      </c>
      <c r="O23" s="8">
        <f t="shared" si="10"/>
        <v>488673.363795373</v>
      </c>
      <c r="P23" s="8">
        <f t="shared" si="11"/>
        <v>505359.771339605</v>
      </c>
      <c r="Q23" s="8">
        <f t="shared" si="12"/>
        <v>526813.723896475</v>
      </c>
      <c r="R23" s="8">
        <f t="shared" si="13"/>
        <v>553035.221465983</v>
      </c>
    </row>
    <row r="24" spans="1:18">
      <c r="A24" s="8">
        <v>8.45023239264275e-8</v>
      </c>
      <c r="B24" s="8">
        <v>220901.582903849</v>
      </c>
      <c r="C24" s="8">
        <v>431.244212087914</v>
      </c>
      <c r="D24" s="8">
        <v>-865959.593070334</v>
      </c>
      <c r="E24" s="6" t="s">
        <v>27</v>
      </c>
      <c r="F24" s="8">
        <f t="shared" si="1"/>
        <v>281588.830954357</v>
      </c>
      <c r="G24" s="8">
        <f t="shared" si="2"/>
        <v>268237.636383245</v>
      </c>
      <c r="H24" s="8">
        <f t="shared" si="3"/>
        <v>257313.931734154</v>
      </c>
      <c r="I24" s="8">
        <f t="shared" si="4"/>
        <v>248817.717007083</v>
      </c>
      <c r="J24" s="8">
        <f t="shared" si="5"/>
        <v>242748.992202032</v>
      </c>
      <c r="K24" s="8">
        <f t="shared" si="6"/>
        <v>239107.757319001</v>
      </c>
      <c r="L24" s="8">
        <f t="shared" si="7"/>
        <v>237894.012357991</v>
      </c>
      <c r="M24" s="8">
        <f t="shared" si="8"/>
        <v>239107.757319001</v>
      </c>
      <c r="N24" s="8">
        <f t="shared" si="9"/>
        <v>242748.992202032</v>
      </c>
      <c r="O24" s="8">
        <f t="shared" si="10"/>
        <v>248817.717007083</v>
      </c>
      <c r="P24" s="8">
        <f t="shared" si="11"/>
        <v>257313.931734154</v>
      </c>
      <c r="Q24" s="8">
        <f t="shared" si="12"/>
        <v>268237.636383245</v>
      </c>
      <c r="R24" s="8">
        <f t="shared" si="13"/>
        <v>281588.830954357</v>
      </c>
    </row>
    <row r="25" spans="1:18">
      <c r="A25" s="8">
        <v>2.36813575117895e-7</v>
      </c>
      <c r="B25" s="8">
        <v>11952.564221562</v>
      </c>
      <c r="C25" s="8">
        <v>90.7191907692313</v>
      </c>
      <c r="D25" s="8">
        <v>-182294.326175386</v>
      </c>
      <c r="E25" s="6" t="s">
        <v>28</v>
      </c>
      <c r="F25" s="8">
        <f t="shared" si="1"/>
        <v>15236.2357110021</v>
      </c>
      <c r="G25" s="8">
        <f t="shared" si="2"/>
        <v>14513.8279833252</v>
      </c>
      <c r="H25" s="8">
        <f t="shared" si="3"/>
        <v>13922.767115226</v>
      </c>
      <c r="I25" s="8">
        <f t="shared" si="4"/>
        <v>13463.0531067044</v>
      </c>
      <c r="J25" s="8">
        <f t="shared" si="5"/>
        <v>13134.6859577604</v>
      </c>
      <c r="K25" s="8">
        <f t="shared" si="6"/>
        <v>12937.665668394</v>
      </c>
      <c r="L25" s="8">
        <f t="shared" si="7"/>
        <v>12871.9922386052</v>
      </c>
      <c r="M25" s="8">
        <f t="shared" si="8"/>
        <v>12937.665668394</v>
      </c>
      <c r="N25" s="8">
        <f t="shared" si="9"/>
        <v>13134.6859577604</v>
      </c>
      <c r="O25" s="8">
        <f t="shared" si="10"/>
        <v>13463.0531067044</v>
      </c>
      <c r="P25" s="8">
        <f t="shared" si="11"/>
        <v>13922.767115226</v>
      </c>
      <c r="Q25" s="8">
        <f t="shared" si="12"/>
        <v>14513.8279833252</v>
      </c>
      <c r="R25" s="8">
        <f t="shared" si="13"/>
        <v>15236.2357110021</v>
      </c>
    </row>
    <row r="26" spans="1:18">
      <c r="A26" s="8">
        <v>7.73366912834085e-6</v>
      </c>
      <c r="B26" s="8">
        <v>76867.7024457177</v>
      </c>
      <c r="C26" s="8">
        <v>161.508699010991</v>
      </c>
      <c r="D26" s="8">
        <v>-324843.246865717</v>
      </c>
      <c r="E26" s="6" t="s">
        <v>29</v>
      </c>
      <c r="F26" s="8">
        <f t="shared" si="1"/>
        <v>97985.2031176182</v>
      </c>
      <c r="G26" s="8">
        <f t="shared" si="2"/>
        <v>93339.3529698001</v>
      </c>
      <c r="H26" s="8">
        <f t="shared" si="3"/>
        <v>89538.202848858</v>
      </c>
      <c r="I26" s="8">
        <f t="shared" si="4"/>
        <v>86581.7527547919</v>
      </c>
      <c r="J26" s="8">
        <f t="shared" si="5"/>
        <v>84470.0026876019</v>
      </c>
      <c r="K26" s="8">
        <f t="shared" si="6"/>
        <v>83202.9526472878</v>
      </c>
      <c r="L26" s="8">
        <f t="shared" si="7"/>
        <v>82780.6026338498</v>
      </c>
      <c r="M26" s="8">
        <f t="shared" si="8"/>
        <v>83202.9526472878</v>
      </c>
      <c r="N26" s="8">
        <f t="shared" si="9"/>
        <v>84470.0026876019</v>
      </c>
      <c r="O26" s="8">
        <f t="shared" si="10"/>
        <v>86581.7527547919</v>
      </c>
      <c r="P26" s="8">
        <f t="shared" si="11"/>
        <v>89538.202848858</v>
      </c>
      <c r="Q26" s="8">
        <f t="shared" si="12"/>
        <v>93339.3529698001</v>
      </c>
      <c r="R26" s="8">
        <f t="shared" si="13"/>
        <v>97985.2031176182</v>
      </c>
    </row>
    <row r="27" spans="1:18">
      <c r="A27" s="10">
        <v>0.102824252720117</v>
      </c>
      <c r="B27" s="8">
        <v>38.0803889965665</v>
      </c>
      <c r="C27" s="8">
        <v>0.813823956043958</v>
      </c>
      <c r="D27" s="8">
        <v>-1633.78353021978</v>
      </c>
      <c r="E27" s="6" t="s">
        <v>30</v>
      </c>
      <c r="F27" s="8">
        <f t="shared" si="1"/>
        <v>48.5420343252936</v>
      </c>
      <c r="G27" s="8">
        <f t="shared" si="2"/>
        <v>46.2404723529736</v>
      </c>
      <c r="H27" s="8">
        <f t="shared" si="3"/>
        <v>44.3573761938027</v>
      </c>
      <c r="I27" s="8">
        <f t="shared" si="4"/>
        <v>42.892745847781</v>
      </c>
      <c r="J27" s="8">
        <f t="shared" si="5"/>
        <v>41.8465813149082</v>
      </c>
      <c r="K27" s="8">
        <f t="shared" si="6"/>
        <v>41.2188825951846</v>
      </c>
      <c r="L27" s="8">
        <f t="shared" si="7"/>
        <v>41.0096496886101</v>
      </c>
      <c r="M27" s="8">
        <f t="shared" si="8"/>
        <v>41.2188825951846</v>
      </c>
      <c r="N27" s="8">
        <f t="shared" si="9"/>
        <v>41.8465813149082</v>
      </c>
      <c r="O27" s="8">
        <f t="shared" si="10"/>
        <v>42.892745847781</v>
      </c>
      <c r="P27" s="8">
        <f t="shared" si="11"/>
        <v>44.3573761938027</v>
      </c>
      <c r="Q27" s="8">
        <f t="shared" si="12"/>
        <v>46.2404723529736</v>
      </c>
      <c r="R27" s="8">
        <f t="shared" si="13"/>
        <v>48.5420343252936</v>
      </c>
    </row>
    <row r="28" spans="1:18">
      <c r="A28" s="8">
        <v>1.00469577108548e-5</v>
      </c>
      <c r="B28" s="8">
        <v>241935.390908785</v>
      </c>
      <c r="C28" s="8">
        <v>278.686583736264</v>
      </c>
      <c r="D28" s="8">
        <v>-560167.466843627</v>
      </c>
      <c r="E28" s="6" t="s">
        <v>31</v>
      </c>
      <c r="F28" s="8">
        <f t="shared" si="1"/>
        <v>308401.157641967</v>
      </c>
      <c r="G28" s="8">
        <f t="shared" si="2"/>
        <v>293778.688960667</v>
      </c>
      <c r="H28" s="8">
        <f t="shared" si="3"/>
        <v>281814.850948694</v>
      </c>
      <c r="I28" s="8">
        <f t="shared" si="4"/>
        <v>272509.643606048</v>
      </c>
      <c r="J28" s="8">
        <f t="shared" si="5"/>
        <v>265863.06693273</v>
      </c>
      <c r="K28" s="8">
        <f t="shared" si="6"/>
        <v>261875.120928739</v>
      </c>
      <c r="L28" s="8">
        <f t="shared" si="7"/>
        <v>260545.805594076</v>
      </c>
      <c r="M28" s="8">
        <f t="shared" si="8"/>
        <v>261875.120928739</v>
      </c>
      <c r="N28" s="8">
        <f t="shared" si="9"/>
        <v>265863.06693273</v>
      </c>
      <c r="O28" s="8">
        <f t="shared" si="10"/>
        <v>272509.643606048</v>
      </c>
      <c r="P28" s="8">
        <f t="shared" si="11"/>
        <v>281814.850948694</v>
      </c>
      <c r="Q28" s="8">
        <f t="shared" si="12"/>
        <v>293778.688960667</v>
      </c>
      <c r="R28" s="8">
        <f t="shared" si="13"/>
        <v>308401.157641967</v>
      </c>
    </row>
    <row r="29" spans="1:18">
      <c r="A29" s="8">
        <v>0.0115583508622633</v>
      </c>
      <c r="B29" s="8">
        <v>111272.994039084</v>
      </c>
      <c r="C29" s="8">
        <v>74.7895198901107</v>
      </c>
      <c r="D29" s="8">
        <v>-150189.163557474</v>
      </c>
      <c r="E29" s="6" t="s">
        <v>32</v>
      </c>
      <c r="F29" s="8">
        <f t="shared" si="1"/>
        <v>141842.497895975</v>
      </c>
      <c r="G29" s="8">
        <f t="shared" si="2"/>
        <v>135117.207047459</v>
      </c>
      <c r="H29" s="8">
        <f t="shared" si="3"/>
        <v>129614.696353218</v>
      </c>
      <c r="I29" s="8">
        <f t="shared" si="4"/>
        <v>125334.965813254</v>
      </c>
      <c r="J29" s="8">
        <f t="shared" si="5"/>
        <v>122278.015427564</v>
      </c>
      <c r="K29" s="8">
        <f t="shared" si="6"/>
        <v>120443.845196151</v>
      </c>
      <c r="L29" s="8">
        <f t="shared" si="7"/>
        <v>119832.455119013</v>
      </c>
      <c r="M29" s="8">
        <f t="shared" si="8"/>
        <v>120443.845196151</v>
      </c>
      <c r="N29" s="8">
        <f t="shared" si="9"/>
        <v>122278.015427564</v>
      </c>
      <c r="O29" s="8">
        <f t="shared" si="10"/>
        <v>125334.965813254</v>
      </c>
      <c r="P29" s="8">
        <f t="shared" si="11"/>
        <v>129614.696353218</v>
      </c>
      <c r="Q29" s="8">
        <f t="shared" si="12"/>
        <v>135117.207047459</v>
      </c>
      <c r="R29" s="8">
        <f t="shared" si="13"/>
        <v>141842.497895975</v>
      </c>
    </row>
    <row r="30" spans="1:18">
      <c r="A30" s="8">
        <v>0.00349871320509738</v>
      </c>
      <c r="B30" s="8">
        <v>5516.77966389487</v>
      </c>
      <c r="C30" s="8">
        <v>20.3734486263736</v>
      </c>
      <c r="D30" s="8">
        <v>-40998.892718022</v>
      </c>
      <c r="E30" s="6" t="s">
        <v>33</v>
      </c>
      <c r="F30" s="8">
        <f t="shared" si="1"/>
        <v>7032.3784726572</v>
      </c>
      <c r="G30" s="8">
        <f t="shared" si="2"/>
        <v>6698.94673472948</v>
      </c>
      <c r="H30" s="8">
        <f t="shared" si="3"/>
        <v>6426.13894915227</v>
      </c>
      <c r="I30" s="8">
        <f t="shared" si="4"/>
        <v>6213.95511592554</v>
      </c>
      <c r="J30" s="8">
        <f t="shared" si="5"/>
        <v>6062.39523504931</v>
      </c>
      <c r="K30" s="8">
        <f t="shared" si="6"/>
        <v>5971.45930652357</v>
      </c>
      <c r="L30" s="8">
        <f t="shared" si="7"/>
        <v>5941.14733034832</v>
      </c>
      <c r="M30" s="8">
        <f t="shared" si="8"/>
        <v>5971.45930652357</v>
      </c>
      <c r="N30" s="8">
        <f t="shared" si="9"/>
        <v>6062.39523504931</v>
      </c>
      <c r="O30" s="8">
        <f t="shared" si="10"/>
        <v>6213.95511592554</v>
      </c>
      <c r="P30" s="8">
        <f t="shared" si="11"/>
        <v>6426.13894915227</v>
      </c>
      <c r="Q30" s="8">
        <f t="shared" si="12"/>
        <v>6698.94673472948</v>
      </c>
      <c r="R30" s="8">
        <f t="shared" si="13"/>
        <v>7032.3784726572</v>
      </c>
    </row>
    <row r="31" spans="1:18">
      <c r="A31" s="8">
        <v>3.07810442317479e-5</v>
      </c>
      <c r="B31" s="8">
        <v>12393.3257488934</v>
      </c>
      <c r="C31" s="8">
        <v>55.8580686813189</v>
      </c>
      <c r="D31" s="8">
        <v>-112270.954821978</v>
      </c>
      <c r="E31" s="6" t="s">
        <v>34</v>
      </c>
      <c r="F31" s="8">
        <f t="shared" si="1"/>
        <v>15798.0855700179</v>
      </c>
      <c r="G31" s="8">
        <f t="shared" si="2"/>
        <v>15049.0384093705</v>
      </c>
      <c r="H31" s="8">
        <f t="shared" si="3"/>
        <v>14436.1816415681</v>
      </c>
      <c r="I31" s="8">
        <f t="shared" si="4"/>
        <v>13959.5152666107</v>
      </c>
      <c r="J31" s="8">
        <f t="shared" si="5"/>
        <v>13619.0392844982</v>
      </c>
      <c r="K31" s="8">
        <f t="shared" si="6"/>
        <v>13414.7536952308</v>
      </c>
      <c r="L31" s="8">
        <f t="shared" si="7"/>
        <v>13346.6584988083</v>
      </c>
      <c r="M31" s="8">
        <f t="shared" si="8"/>
        <v>13414.7536952308</v>
      </c>
      <c r="N31" s="8">
        <f t="shared" si="9"/>
        <v>13619.0392844982</v>
      </c>
      <c r="O31" s="8">
        <f t="shared" si="10"/>
        <v>13959.5152666107</v>
      </c>
      <c r="P31" s="8">
        <f t="shared" si="11"/>
        <v>14436.1816415681</v>
      </c>
      <c r="Q31" s="8">
        <f t="shared" si="12"/>
        <v>15049.0384093705</v>
      </c>
      <c r="R31" s="8">
        <f t="shared" si="13"/>
        <v>15798.0855700179</v>
      </c>
    </row>
    <row r="32" spans="1:18">
      <c r="A32" s="8">
        <v>2.07551224478218e-5</v>
      </c>
      <c r="B32" s="8">
        <v>5422.80680317716</v>
      </c>
      <c r="C32" s="8">
        <v>38.5849332967034</v>
      </c>
      <c r="D32" s="8">
        <v>-77326.5886865936</v>
      </c>
      <c r="E32" s="6" t="s">
        <v>35</v>
      </c>
      <c r="F32" s="8">
        <f t="shared" si="1"/>
        <v>6912.58889196209</v>
      </c>
      <c r="G32" s="8">
        <f t="shared" si="2"/>
        <v>6584.8368324294</v>
      </c>
      <c r="H32" s="8">
        <f t="shared" si="3"/>
        <v>6316.67605644811</v>
      </c>
      <c r="I32" s="8">
        <f t="shared" si="4"/>
        <v>6108.10656401822</v>
      </c>
      <c r="J32" s="8">
        <f t="shared" si="5"/>
        <v>5959.12835513973</v>
      </c>
      <c r="K32" s="8">
        <f t="shared" si="6"/>
        <v>5869.74142981264</v>
      </c>
      <c r="L32" s="8">
        <f t="shared" si="7"/>
        <v>5839.94578803694</v>
      </c>
      <c r="M32" s="8">
        <f t="shared" si="8"/>
        <v>5869.74142981264</v>
      </c>
      <c r="N32" s="8">
        <f t="shared" si="9"/>
        <v>5959.12835513973</v>
      </c>
      <c r="O32" s="8">
        <f t="shared" si="10"/>
        <v>6108.10656401822</v>
      </c>
      <c r="P32" s="8">
        <f t="shared" si="11"/>
        <v>6316.67605644811</v>
      </c>
      <c r="Q32" s="8">
        <f t="shared" si="12"/>
        <v>6584.8368324294</v>
      </c>
      <c r="R32" s="8">
        <f t="shared" si="13"/>
        <v>6912.58889196209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workbookViewId="0">
      <selection activeCell="A1" sqref="A1:D32"/>
    </sheetView>
  </sheetViews>
  <sheetFormatPr defaultColWidth="8.88888888888889" defaultRowHeight="14.4"/>
  <cols>
    <col min="1" max="1" width="15.712962962963" style="8" customWidth="1"/>
    <col min="2" max="3" width="11.712962962963" style="8" customWidth="1"/>
    <col min="4" max="4" width="12.3796296296296" style="8" customWidth="1"/>
    <col min="5" max="5" width="9" style="8"/>
    <col min="6" max="6" width="14.1111111111111" style="8"/>
    <col min="7" max="18" width="12.8888888888889" style="8"/>
  </cols>
  <sheetData>
    <row r="1" spans="1:18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9">
        <v>2012</v>
      </c>
      <c r="G1" s="9">
        <v>2013</v>
      </c>
      <c r="H1" s="9">
        <v>2014</v>
      </c>
      <c r="I1" s="9">
        <v>2015</v>
      </c>
      <c r="J1" s="9">
        <v>2016</v>
      </c>
      <c r="K1" s="9">
        <v>2017</v>
      </c>
      <c r="L1" s="9">
        <v>2018</v>
      </c>
      <c r="M1" s="9">
        <v>2019</v>
      </c>
      <c r="N1" s="9">
        <v>2020</v>
      </c>
      <c r="O1" s="9">
        <v>2021</v>
      </c>
      <c r="P1" s="9">
        <v>2022</v>
      </c>
      <c r="Q1" s="9">
        <v>2023</v>
      </c>
      <c r="R1" s="9">
        <v>2024</v>
      </c>
    </row>
    <row r="2" spans="1:18">
      <c r="A2" s="8">
        <v>1.95382620357179e-9</v>
      </c>
      <c r="B2" s="8">
        <v>0.276294206108889</v>
      </c>
      <c r="C2" s="8">
        <v>0.690290659340663</v>
      </c>
      <c r="D2" s="8">
        <v>-1388.33752747254</v>
      </c>
      <c r="E2" s="6" t="s">
        <v>5</v>
      </c>
      <c r="F2" s="8">
        <f>$B2*(1+(1/13)+(((F$1-2018)^2)/(((2012-2018)^2)+((2013-2018)^2)+((2014-2018)^2)+((2015-2018)^2)+((2016-2018)^2)+((2017-2018)^2)+((2018-2018)^2)+((2019-2018)^2)+((2020-2018)^2)+((2021-2018)^2)+((2022-2018)^2)+((2023-2018)^2)+((2024-2018)^2))))</f>
        <v>0.352199207787155</v>
      </c>
      <c r="G2" s="8">
        <f t="shared" ref="G2:R2" si="0">$B2*(1+(1/13)+(((G$1-2018)^2)/(((2012-2018)^2)+((2013-2018)^2)+((2014-2018)^2)+((2015-2018)^2)+((2016-2018)^2)+((2017-2018)^2)+((2018-2018)^2)+((2019-2018)^2)+((2020-2018)^2)+((2021-2018)^2)+((2022-2018)^2)+((2023-2018)^2)+((2024-2018)^2))))</f>
        <v>0.335500107417937</v>
      </c>
      <c r="H2" s="8">
        <f t="shared" si="0"/>
        <v>0.321837207115849</v>
      </c>
      <c r="I2" s="8">
        <f t="shared" si="0"/>
        <v>0.311210506880891</v>
      </c>
      <c r="J2" s="8">
        <f t="shared" si="0"/>
        <v>0.303620006713065</v>
      </c>
      <c r="K2" s="8">
        <f t="shared" si="0"/>
        <v>0.299065706612369</v>
      </c>
      <c r="L2" s="8">
        <f t="shared" si="0"/>
        <v>0.297547606578803</v>
      </c>
      <c r="M2" s="8">
        <f t="shared" si="0"/>
        <v>0.299065706612369</v>
      </c>
      <c r="N2" s="8">
        <f t="shared" si="0"/>
        <v>0.303620006713065</v>
      </c>
      <c r="O2" s="8">
        <f t="shared" si="0"/>
        <v>0.311210506880891</v>
      </c>
      <c r="P2" s="8">
        <f t="shared" si="0"/>
        <v>0.321837207115849</v>
      </c>
      <c r="Q2" s="8">
        <f t="shared" si="0"/>
        <v>0.335500107417937</v>
      </c>
      <c r="R2" s="8">
        <f t="shared" si="0"/>
        <v>0.352199207787155</v>
      </c>
    </row>
    <row r="3" spans="1:18">
      <c r="A3" s="8">
        <v>1.79733667303416e-7</v>
      </c>
      <c r="B3" s="8">
        <v>0.0496364134215789</v>
      </c>
      <c r="C3" s="8">
        <v>0.189937912087913</v>
      </c>
      <c r="D3" s="8">
        <v>-381.155214285716</v>
      </c>
      <c r="E3" s="6" t="s">
        <v>6</v>
      </c>
      <c r="F3" s="8">
        <f t="shared" ref="F3:F32" si="1">$B3*(1+(1/13)+(((F$1-2018)^2)/(((2012-2018)^2)+((2013-2018)^2)+((2014-2018)^2)+((2015-2018)^2)+((2016-2018)^2)+((2017-2018)^2)+((2018-2018)^2)+((2019-2018)^2)+((2020-2018)^2)+((2021-2018)^2)+((2022-2018)^2)+((2023-2018)^2)+((2024-2018)^2))))</f>
        <v>0.0632727907351994</v>
      </c>
      <c r="G3" s="8">
        <f t="shared" ref="G3:R3" si="2">$B3*(1+(1/13)+(((G$1-2018)^2)/(((2012-2018)^2)+((2013-2018)^2)+((2014-2018)^2)+((2015-2018)^2)+((2016-2018)^2)+((2017-2018)^2)+((2018-2018)^2)+((2019-2018)^2)+((2020-2018)^2)+((2021-2018)^2)+((2022-2018)^2)+((2023-2018)^2)+((2024-2018)^2))))</f>
        <v>0.0602727877262029</v>
      </c>
      <c r="H3" s="8">
        <f t="shared" si="2"/>
        <v>0.0578182398097512</v>
      </c>
      <c r="I3" s="8">
        <f t="shared" si="2"/>
        <v>0.0559091469858443</v>
      </c>
      <c r="J3" s="8">
        <f t="shared" si="2"/>
        <v>0.0545455092544823</v>
      </c>
      <c r="K3" s="8">
        <f t="shared" si="2"/>
        <v>0.053727326615665</v>
      </c>
      <c r="L3" s="8">
        <f t="shared" si="2"/>
        <v>0.0534545990693926</v>
      </c>
      <c r="M3" s="8">
        <f t="shared" si="2"/>
        <v>0.053727326615665</v>
      </c>
      <c r="N3" s="8">
        <f t="shared" si="2"/>
        <v>0.0545455092544823</v>
      </c>
      <c r="O3" s="8">
        <f t="shared" si="2"/>
        <v>0.0559091469858443</v>
      </c>
      <c r="P3" s="8">
        <f t="shared" si="2"/>
        <v>0.0578182398097512</v>
      </c>
      <c r="Q3" s="8">
        <f t="shared" si="2"/>
        <v>0.0602727877262029</v>
      </c>
      <c r="R3" s="8">
        <f t="shared" si="2"/>
        <v>0.0632727907351994</v>
      </c>
    </row>
    <row r="4" spans="1:18">
      <c r="A4" s="8">
        <v>2.60881325069156e-9</v>
      </c>
      <c r="B4" s="8">
        <v>0.0992094981019034</v>
      </c>
      <c r="C4" s="8">
        <v>0.402559340659343</v>
      </c>
      <c r="D4" s="8">
        <v>-810.184149450555</v>
      </c>
      <c r="E4" s="6" t="s">
        <v>7</v>
      </c>
      <c r="F4" s="8">
        <f t="shared" si="1"/>
        <v>0.126464854723305</v>
      </c>
      <c r="G4" s="8">
        <f t="shared" ref="G4:R4" si="3">$B4*(1+(1/13)+(((G$1-2018)^2)/(((2012-2018)^2)+((2013-2018)^2)+((2014-2018)^2)+((2015-2018)^2)+((2016-2018)^2)+((2017-2018)^2)+((2018-2018)^2)+((2019-2018)^2)+((2020-2018)^2)+((2021-2018)^2)+((2022-2018)^2)+((2023-2018)^2)+((2024-2018)^2))))</f>
        <v>0.120468676266597</v>
      </c>
      <c r="H4" s="8">
        <f t="shared" si="3"/>
        <v>0.115562712074745</v>
      </c>
      <c r="I4" s="8">
        <f t="shared" si="3"/>
        <v>0.111746962147748</v>
      </c>
      <c r="J4" s="8">
        <f t="shared" si="3"/>
        <v>0.109021426485608</v>
      </c>
      <c r="K4" s="8">
        <f t="shared" si="3"/>
        <v>0.107386105088324</v>
      </c>
      <c r="L4" s="8">
        <f t="shared" si="3"/>
        <v>0.106840997955896</v>
      </c>
      <c r="M4" s="8">
        <f t="shared" si="3"/>
        <v>0.107386105088324</v>
      </c>
      <c r="N4" s="8">
        <f t="shared" si="3"/>
        <v>0.109021426485608</v>
      </c>
      <c r="O4" s="8">
        <f t="shared" si="3"/>
        <v>0.111746962147748</v>
      </c>
      <c r="P4" s="8">
        <f t="shared" si="3"/>
        <v>0.115562712074745</v>
      </c>
      <c r="Q4" s="8">
        <f t="shared" si="3"/>
        <v>0.120468676266597</v>
      </c>
      <c r="R4" s="8">
        <f t="shared" si="3"/>
        <v>0.126464854723305</v>
      </c>
    </row>
    <row r="5" spans="1:18">
      <c r="A5" s="8">
        <v>8.98247010098921e-10</v>
      </c>
      <c r="B5" s="8">
        <v>0.00693125410589368</v>
      </c>
      <c r="C5" s="8">
        <v>0.117585714285715</v>
      </c>
      <c r="D5" s="8">
        <v>-236.458625274727</v>
      </c>
      <c r="E5" s="6" t="s">
        <v>8</v>
      </c>
      <c r="F5" s="8">
        <f t="shared" si="1"/>
        <v>0.00883544479432601</v>
      </c>
      <c r="G5" s="8">
        <f t="shared" ref="G5:R5" si="4">$B5*(1+(1/13)+(((G$1-2018)^2)/(((2012-2018)^2)+((2013-2018)^2)+((2014-2018)^2)+((2015-2018)^2)+((2016-2018)^2)+((2017-2018)^2)+((2018-2018)^2)+((2019-2018)^2)+((2020-2018)^2)+((2021-2018)^2)+((2022-2018)^2)+((2023-2018)^2)+((2024-2018)^2))))</f>
        <v>0.0084165228428709</v>
      </c>
      <c r="H5" s="8">
        <f t="shared" si="4"/>
        <v>0.00807376851895308</v>
      </c>
      <c r="I5" s="8">
        <f t="shared" si="4"/>
        <v>0.00780718182257255</v>
      </c>
      <c r="J5" s="8">
        <f t="shared" si="4"/>
        <v>0.00761676275372932</v>
      </c>
      <c r="K5" s="8">
        <f t="shared" si="4"/>
        <v>0.00750251131242338</v>
      </c>
      <c r="L5" s="8">
        <f t="shared" si="4"/>
        <v>0.00746442749865473</v>
      </c>
      <c r="M5" s="8">
        <f t="shared" si="4"/>
        <v>0.00750251131242338</v>
      </c>
      <c r="N5" s="8">
        <f t="shared" si="4"/>
        <v>0.00761676275372932</v>
      </c>
      <c r="O5" s="8">
        <f t="shared" si="4"/>
        <v>0.00780718182257255</v>
      </c>
      <c r="P5" s="8">
        <f t="shared" si="4"/>
        <v>0.00807376851895308</v>
      </c>
      <c r="Q5" s="8">
        <f t="shared" si="4"/>
        <v>0.0084165228428709</v>
      </c>
      <c r="R5" s="8">
        <f t="shared" si="4"/>
        <v>0.00883544479432601</v>
      </c>
    </row>
    <row r="6" spans="1:18">
      <c r="A6" s="8">
        <v>6.75935900756373e-5</v>
      </c>
      <c r="B6" s="8">
        <v>0.0501173542457561</v>
      </c>
      <c r="C6" s="8">
        <v>0.102808791208792</v>
      </c>
      <c r="D6" s="8">
        <v>-206.927302197804</v>
      </c>
      <c r="E6" s="6" t="s">
        <v>9</v>
      </c>
      <c r="F6" s="8">
        <f t="shared" si="1"/>
        <v>0.0638858581594254</v>
      </c>
      <c r="G6" s="8">
        <f t="shared" ref="G6:R6" si="5">$B6*(1+(1/13)+(((G$1-2018)^2)/(((2012-2018)^2)+((2013-2018)^2)+((2014-2018)^2)+((2015-2018)^2)+((2016-2018)^2)+((2017-2018)^2)+((2018-2018)^2)+((2019-2018)^2)+((2020-2018)^2)+((2021-2018)^2)+((2022-2018)^2)+((2023-2018)^2)+((2024-2018)^2))))</f>
        <v>0.0608567872984182</v>
      </c>
      <c r="H6" s="8">
        <f t="shared" si="5"/>
        <v>0.0583784565939577</v>
      </c>
      <c r="I6" s="8">
        <f t="shared" si="5"/>
        <v>0.056450866046044</v>
      </c>
      <c r="J6" s="8">
        <f t="shared" si="5"/>
        <v>0.0550740156546771</v>
      </c>
      <c r="K6" s="8">
        <f t="shared" si="5"/>
        <v>0.0542479054198569</v>
      </c>
      <c r="L6" s="8">
        <f t="shared" si="5"/>
        <v>0.0539725353415835</v>
      </c>
      <c r="M6" s="8">
        <f t="shared" si="5"/>
        <v>0.0542479054198569</v>
      </c>
      <c r="N6" s="8">
        <f t="shared" si="5"/>
        <v>0.0550740156546771</v>
      </c>
      <c r="O6" s="8">
        <f t="shared" si="5"/>
        <v>0.056450866046044</v>
      </c>
      <c r="P6" s="8">
        <f t="shared" si="5"/>
        <v>0.0583784565939577</v>
      </c>
      <c r="Q6" s="8">
        <f t="shared" si="5"/>
        <v>0.0608567872984182</v>
      </c>
      <c r="R6" s="8">
        <f t="shared" si="5"/>
        <v>0.0638858581594254</v>
      </c>
    </row>
    <row r="7" spans="1:18">
      <c r="A7" s="8">
        <v>2.99388993983857e-10</v>
      </c>
      <c r="B7" s="8">
        <v>0.0404040671928072</v>
      </c>
      <c r="C7" s="8">
        <v>0.314509890109892</v>
      </c>
      <c r="D7" s="8">
        <v>-632.499573626377</v>
      </c>
      <c r="E7" s="6" t="s">
        <v>10</v>
      </c>
      <c r="F7" s="8">
        <f t="shared" si="1"/>
        <v>0.0515040856523696</v>
      </c>
      <c r="G7" s="8">
        <f t="shared" ref="G7:R7" si="6">$B7*(1+(1/13)+(((G$1-2018)^2)/(((2012-2018)^2)+((2013-2018)^2)+((2014-2018)^2)+((2015-2018)^2)+((2016-2018)^2)+((2017-2018)^2)+((2018-2018)^2)+((2019-2018)^2)+((2020-2018)^2)+((2021-2018)^2)+((2022-2018)^2)+((2023-2018)^2)+((2024-2018)^2))))</f>
        <v>0.0490620815912659</v>
      </c>
      <c r="H7" s="8">
        <f t="shared" si="6"/>
        <v>0.0470640782685446</v>
      </c>
      <c r="I7" s="8">
        <f t="shared" si="6"/>
        <v>0.0455100756842059</v>
      </c>
      <c r="J7" s="8">
        <f t="shared" si="6"/>
        <v>0.0444000738382496</v>
      </c>
      <c r="K7" s="8">
        <f t="shared" si="6"/>
        <v>0.0437340727306759</v>
      </c>
      <c r="L7" s="8">
        <f t="shared" si="6"/>
        <v>0.0435120723614847</v>
      </c>
      <c r="M7" s="8">
        <f t="shared" si="6"/>
        <v>0.0437340727306759</v>
      </c>
      <c r="N7" s="8">
        <f t="shared" si="6"/>
        <v>0.0444000738382496</v>
      </c>
      <c r="O7" s="8">
        <f t="shared" si="6"/>
        <v>0.0455100756842059</v>
      </c>
      <c r="P7" s="8">
        <f t="shared" si="6"/>
        <v>0.0470640782685446</v>
      </c>
      <c r="Q7" s="8">
        <f t="shared" si="6"/>
        <v>0.0490620815912659</v>
      </c>
      <c r="R7" s="8">
        <f t="shared" si="6"/>
        <v>0.0515040856523696</v>
      </c>
    </row>
    <row r="8" spans="1:18">
      <c r="A8" s="8">
        <v>0.000165940641429015</v>
      </c>
      <c r="B8" s="8">
        <v>0.0601369008541469</v>
      </c>
      <c r="C8" s="8">
        <v>0.101374175824177</v>
      </c>
      <c r="D8" s="8">
        <v>-203.964748351651</v>
      </c>
      <c r="E8" s="6" t="s">
        <v>11</v>
      </c>
      <c r="F8" s="8">
        <f t="shared" si="1"/>
        <v>0.076658027462429</v>
      </c>
      <c r="G8" s="8">
        <f t="shared" ref="G8:R8" si="7">$B8*(1+(1/13)+(((G$1-2018)^2)/(((2012-2018)^2)+((2013-2018)^2)+((2014-2018)^2)+((2015-2018)^2)+((2016-2018)^2)+((2017-2018)^2)+((2018-2018)^2)+((2019-2018)^2)+((2020-2018)^2)+((2021-2018)^2)+((2022-2018)^2)+((2023-2018)^2)+((2024-2018)^2))))</f>
        <v>0.0730233796086069</v>
      </c>
      <c r="H8" s="8">
        <f t="shared" si="7"/>
        <v>0.0700495768191161</v>
      </c>
      <c r="I8" s="8">
        <f t="shared" si="7"/>
        <v>0.0677366190939566</v>
      </c>
      <c r="J8" s="8">
        <f t="shared" si="7"/>
        <v>0.0660845064331284</v>
      </c>
      <c r="K8" s="8">
        <f t="shared" si="7"/>
        <v>0.0650932388366315</v>
      </c>
      <c r="L8" s="8">
        <f t="shared" si="7"/>
        <v>0.0647628163044659</v>
      </c>
      <c r="M8" s="8">
        <f t="shared" si="7"/>
        <v>0.0650932388366315</v>
      </c>
      <c r="N8" s="8">
        <f t="shared" si="7"/>
        <v>0.0660845064331284</v>
      </c>
      <c r="O8" s="8">
        <f t="shared" si="7"/>
        <v>0.0677366190939566</v>
      </c>
      <c r="P8" s="8">
        <f t="shared" si="7"/>
        <v>0.0700495768191161</v>
      </c>
      <c r="Q8" s="8">
        <f t="shared" si="7"/>
        <v>0.0730233796086069</v>
      </c>
      <c r="R8" s="8">
        <f t="shared" si="7"/>
        <v>0.076658027462429</v>
      </c>
    </row>
    <row r="9" spans="1:18">
      <c r="A9" s="8">
        <v>4.39497399988692e-8</v>
      </c>
      <c r="B9" s="8">
        <v>0.00888312751248714</v>
      </c>
      <c r="C9" s="8">
        <v>0.0921120879120885</v>
      </c>
      <c r="D9" s="8">
        <v>-185.228601098902</v>
      </c>
      <c r="E9" s="6" t="s">
        <v>12</v>
      </c>
      <c r="F9" s="8">
        <f t="shared" si="1"/>
        <v>0.0113235471587748</v>
      </c>
      <c r="G9" s="8">
        <f t="shared" ref="G9:R9" si="8">$B9*(1+(1/13)+(((G$1-2018)^2)/(((2012-2018)^2)+((2013-2018)^2)+((2014-2018)^2)+((2015-2018)^2)+((2016-2018)^2)+((2017-2018)^2)+((2018-2018)^2)+((2019-2018)^2)+((2020-2018)^2)+((2021-2018)^2)+((2022-2018)^2)+((2023-2018)^2)+((2024-2018)^2))))</f>
        <v>0.0107866548365915</v>
      </c>
      <c r="H9" s="8">
        <f t="shared" si="8"/>
        <v>0.0103473793002597</v>
      </c>
      <c r="I9" s="8">
        <f t="shared" si="8"/>
        <v>0.0100057205497795</v>
      </c>
      <c r="J9" s="8">
        <f t="shared" si="8"/>
        <v>0.0097616785851507</v>
      </c>
      <c r="K9" s="8">
        <f t="shared" si="8"/>
        <v>0.00961525340637344</v>
      </c>
      <c r="L9" s="8">
        <f t="shared" si="8"/>
        <v>0.00956644501344769</v>
      </c>
      <c r="M9" s="8">
        <f t="shared" si="8"/>
        <v>0.00961525340637344</v>
      </c>
      <c r="N9" s="8">
        <f t="shared" si="8"/>
        <v>0.0097616785851507</v>
      </c>
      <c r="O9" s="8">
        <f t="shared" si="8"/>
        <v>0.0100057205497795</v>
      </c>
      <c r="P9" s="8">
        <f t="shared" si="8"/>
        <v>0.0103473793002597</v>
      </c>
      <c r="Q9" s="8">
        <f t="shared" si="8"/>
        <v>0.0107866548365915</v>
      </c>
      <c r="R9" s="8">
        <f t="shared" si="8"/>
        <v>0.0113235471587748</v>
      </c>
    </row>
    <row r="10" spans="1:18">
      <c r="A10" s="8">
        <v>2.04779817291688e-9</v>
      </c>
      <c r="B10" s="8">
        <v>0.27891350604894</v>
      </c>
      <c r="C10" s="8">
        <v>0.690503846153851</v>
      </c>
      <c r="D10" s="8">
        <v>-1388.19106923078</v>
      </c>
      <c r="E10" s="6" t="s">
        <v>13</v>
      </c>
      <c r="F10" s="8">
        <f t="shared" si="1"/>
        <v>0.355538095622824</v>
      </c>
      <c r="G10" s="8">
        <f t="shared" ref="G10:R10" si="9">$B10*(1+(1/13)+(((G$1-2018)^2)/(((2012-2018)^2)+((2013-2018)^2)+((2014-2018)^2)+((2015-2018)^2)+((2016-2018)^2)+((2017-2018)^2)+((2018-2018)^2)+((2019-2018)^2)+((2020-2018)^2)+((2021-2018)^2)+((2022-2018)^2)+((2023-2018)^2)+((2024-2018)^2))))</f>
        <v>0.33868068591657</v>
      </c>
      <c r="H10" s="8">
        <f t="shared" si="9"/>
        <v>0.32488825979327</v>
      </c>
      <c r="I10" s="8">
        <f t="shared" si="9"/>
        <v>0.314160817252927</v>
      </c>
      <c r="J10" s="8">
        <f t="shared" si="9"/>
        <v>0.306498358295538</v>
      </c>
      <c r="K10" s="8">
        <f t="shared" si="9"/>
        <v>0.301900882921105</v>
      </c>
      <c r="L10" s="8">
        <f t="shared" si="9"/>
        <v>0.300368391129627</v>
      </c>
      <c r="M10" s="8">
        <f t="shared" si="9"/>
        <v>0.301900882921105</v>
      </c>
      <c r="N10" s="8">
        <f t="shared" si="9"/>
        <v>0.306498358295538</v>
      </c>
      <c r="O10" s="8">
        <f t="shared" si="9"/>
        <v>0.314160817252927</v>
      </c>
      <c r="P10" s="8">
        <f t="shared" si="9"/>
        <v>0.32488825979327</v>
      </c>
      <c r="Q10" s="8">
        <f t="shared" si="9"/>
        <v>0.33868068591657</v>
      </c>
      <c r="R10" s="8">
        <f t="shared" si="9"/>
        <v>0.355538095622824</v>
      </c>
    </row>
    <row r="11" spans="1:18">
      <c r="A11" s="8">
        <v>1.78022401578582e-9</v>
      </c>
      <c r="B11" s="8">
        <v>4.44779953222785</v>
      </c>
      <c r="C11" s="8">
        <v>2.79389450549452</v>
      </c>
      <c r="D11" s="8">
        <v>-5619.94161208795</v>
      </c>
      <c r="E11" s="6" t="s">
        <v>14</v>
      </c>
      <c r="F11" s="8">
        <f t="shared" si="1"/>
        <v>5.6697224806421</v>
      </c>
      <c r="G11" s="8">
        <f t="shared" ref="G11:R11" si="10">$B11*(1+(1/13)+(((G$1-2018)^2)/(((2012-2018)^2)+((2013-2018)^2)+((2014-2018)^2)+((2015-2018)^2)+((2016-2018)^2)+((2017-2018)^2)+((2018-2018)^2)+((2019-2018)^2)+((2020-2018)^2)+((2021-2018)^2)+((2022-2018)^2)+((2023-2018)^2)+((2024-2018)^2))))</f>
        <v>5.40089943199096</v>
      </c>
      <c r="H11" s="8">
        <f t="shared" si="10"/>
        <v>5.1809533012764</v>
      </c>
      <c r="I11" s="8">
        <f t="shared" si="10"/>
        <v>5.00988408849841</v>
      </c>
      <c r="J11" s="8">
        <f t="shared" si="10"/>
        <v>4.88769179365698</v>
      </c>
      <c r="K11" s="8">
        <f t="shared" si="10"/>
        <v>4.81437641675213</v>
      </c>
      <c r="L11" s="8">
        <f t="shared" si="10"/>
        <v>4.78993795778384</v>
      </c>
      <c r="M11" s="8">
        <f t="shared" si="10"/>
        <v>4.81437641675213</v>
      </c>
      <c r="N11" s="8">
        <f t="shared" si="10"/>
        <v>4.88769179365698</v>
      </c>
      <c r="O11" s="8">
        <f t="shared" si="10"/>
        <v>5.00988408849841</v>
      </c>
      <c r="P11" s="8">
        <f t="shared" si="10"/>
        <v>5.1809533012764</v>
      </c>
      <c r="Q11" s="8">
        <f t="shared" si="10"/>
        <v>5.40089943199096</v>
      </c>
      <c r="R11" s="8">
        <f t="shared" si="10"/>
        <v>5.6697224806421</v>
      </c>
    </row>
    <row r="12" spans="1:18">
      <c r="A12" s="8">
        <v>1.00907624021658e-6</v>
      </c>
      <c r="B12" s="8">
        <v>4.67990046849137</v>
      </c>
      <c r="C12" s="8">
        <v>1.55425824175825</v>
      </c>
      <c r="D12" s="8">
        <v>-3128.15269340662</v>
      </c>
      <c r="E12" s="6" t="s">
        <v>15</v>
      </c>
      <c r="F12" s="8">
        <f t="shared" si="1"/>
        <v>5.9655874103846</v>
      </c>
      <c r="G12" s="8">
        <f t="shared" ref="G12:R12" si="11">$B12*(1+(1/13)+(((G$1-2018)^2)/(((2012-2018)^2)+((2013-2018)^2)+((2014-2018)^2)+((2015-2018)^2)+((2016-2018)^2)+((2017-2018)^2)+((2018-2018)^2)+((2019-2018)^2)+((2020-2018)^2)+((2021-2018)^2)+((2022-2018)^2)+((2023-2018)^2)+((2024-2018)^2))))</f>
        <v>5.68273628316809</v>
      </c>
      <c r="H12" s="8">
        <f t="shared" si="11"/>
        <v>5.45131263362731</v>
      </c>
      <c r="I12" s="8">
        <f t="shared" si="11"/>
        <v>5.27131646176225</v>
      </c>
      <c r="J12" s="8">
        <f t="shared" si="11"/>
        <v>5.14274776757293</v>
      </c>
      <c r="K12" s="8">
        <f t="shared" si="11"/>
        <v>5.06560655105934</v>
      </c>
      <c r="L12" s="8">
        <f t="shared" si="11"/>
        <v>5.03989281222147</v>
      </c>
      <c r="M12" s="8">
        <f t="shared" si="11"/>
        <v>5.06560655105934</v>
      </c>
      <c r="N12" s="8">
        <f t="shared" si="11"/>
        <v>5.14274776757293</v>
      </c>
      <c r="O12" s="8">
        <f t="shared" si="11"/>
        <v>5.27131646176225</v>
      </c>
      <c r="P12" s="8">
        <f t="shared" si="11"/>
        <v>5.45131263362731</v>
      </c>
      <c r="Q12" s="8">
        <f t="shared" si="11"/>
        <v>5.68273628316809</v>
      </c>
      <c r="R12" s="8">
        <f t="shared" si="11"/>
        <v>5.9655874103846</v>
      </c>
    </row>
    <row r="13" spans="1:18">
      <c r="A13" s="8">
        <v>7.3778766271883e-11</v>
      </c>
      <c r="B13" s="8">
        <v>0.238035673661381</v>
      </c>
      <c r="C13" s="8">
        <v>0.869263186813192</v>
      </c>
      <c r="D13" s="8">
        <v>-1748.51619560441</v>
      </c>
      <c r="E13" s="6" t="s">
        <v>16</v>
      </c>
      <c r="F13" s="8">
        <f t="shared" si="1"/>
        <v>0.30343008950242</v>
      </c>
      <c r="G13" s="8">
        <f t="shared" ref="G13:R13" si="12">$B13*(1+(1/13)+(((G$1-2018)^2)/(((2012-2018)^2)+((2013-2018)^2)+((2014-2018)^2)+((2015-2018)^2)+((2016-2018)^2)+((2017-2018)^2)+((2018-2018)^2)+((2019-2018)^2)+((2020-2018)^2)+((2021-2018)^2)+((2022-2018)^2)+((2023-2018)^2)+((2024-2018)^2))))</f>
        <v>0.289043318017391</v>
      </c>
      <c r="H13" s="8">
        <f t="shared" si="12"/>
        <v>0.277272323166004</v>
      </c>
      <c r="I13" s="8">
        <f t="shared" si="12"/>
        <v>0.268117104948259</v>
      </c>
      <c r="J13" s="8">
        <f t="shared" si="12"/>
        <v>0.261577663364155</v>
      </c>
      <c r="K13" s="8">
        <f t="shared" si="12"/>
        <v>0.257653998413693</v>
      </c>
      <c r="L13" s="8">
        <f t="shared" si="12"/>
        <v>0.256346110096872</v>
      </c>
      <c r="M13" s="8">
        <f t="shared" si="12"/>
        <v>0.257653998413693</v>
      </c>
      <c r="N13" s="8">
        <f t="shared" si="12"/>
        <v>0.261577663364155</v>
      </c>
      <c r="O13" s="8">
        <f t="shared" si="12"/>
        <v>0.268117104948259</v>
      </c>
      <c r="P13" s="8">
        <f t="shared" si="12"/>
        <v>0.277272323166004</v>
      </c>
      <c r="Q13" s="8">
        <f t="shared" si="12"/>
        <v>0.289043318017391</v>
      </c>
      <c r="R13" s="8">
        <f t="shared" si="12"/>
        <v>0.30343008950242</v>
      </c>
    </row>
    <row r="14" spans="1:18">
      <c r="A14" s="8">
        <v>1.07000268412115e-9</v>
      </c>
      <c r="B14" s="8">
        <v>0.170464849505505</v>
      </c>
      <c r="C14" s="8">
        <v>0.573669780219784</v>
      </c>
      <c r="D14" s="8">
        <v>-1154.39785494506</v>
      </c>
      <c r="E14" s="6" t="s">
        <v>17</v>
      </c>
      <c r="F14" s="8">
        <f t="shared" si="1"/>
        <v>0.217295852116908</v>
      </c>
      <c r="G14" s="8">
        <f t="shared" ref="G14:R14" si="13">$B14*(1+(1/13)+(((G$1-2018)^2)/(((2012-2018)^2)+((2013-2018)^2)+((2014-2018)^2)+((2015-2018)^2)+((2016-2018)^2)+((2017-2018)^2)+((2018-2018)^2)+((2019-2018)^2)+((2020-2018)^2)+((2021-2018)^2)+((2022-2018)^2)+((2023-2018)^2)+((2024-2018)^2))))</f>
        <v>0.206993031542399</v>
      </c>
      <c r="H14" s="8">
        <f t="shared" si="13"/>
        <v>0.198563451072347</v>
      </c>
      <c r="I14" s="8">
        <f t="shared" si="13"/>
        <v>0.19200711070675</v>
      </c>
      <c r="J14" s="8">
        <f t="shared" si="13"/>
        <v>0.18732401044561</v>
      </c>
      <c r="K14" s="8">
        <f t="shared" si="13"/>
        <v>0.184514150288926</v>
      </c>
      <c r="L14" s="8">
        <f t="shared" si="13"/>
        <v>0.183577530236698</v>
      </c>
      <c r="M14" s="8">
        <f t="shared" si="13"/>
        <v>0.184514150288926</v>
      </c>
      <c r="N14" s="8">
        <f t="shared" si="13"/>
        <v>0.18732401044561</v>
      </c>
      <c r="O14" s="8">
        <f t="shared" si="13"/>
        <v>0.19200711070675</v>
      </c>
      <c r="P14" s="8">
        <f t="shared" si="13"/>
        <v>0.198563451072347</v>
      </c>
      <c r="Q14" s="8">
        <f t="shared" si="13"/>
        <v>0.206993031542399</v>
      </c>
      <c r="R14" s="8">
        <f t="shared" si="13"/>
        <v>0.217295852116908</v>
      </c>
    </row>
    <row r="15" spans="1:18">
      <c r="A15" s="8">
        <v>7.11775899186952e-10</v>
      </c>
      <c r="B15" s="8">
        <v>0.030822589505491</v>
      </c>
      <c r="C15" s="8">
        <v>0.253408241758243</v>
      </c>
      <c r="D15" s="8">
        <v>-510.011747252751</v>
      </c>
      <c r="E15" s="6" t="s">
        <v>18</v>
      </c>
      <c r="F15" s="8">
        <f t="shared" si="1"/>
        <v>0.0392903338751314</v>
      </c>
      <c r="G15" s="8">
        <f t="shared" ref="G15:R15" si="14">$B15*(1+(1/13)+(((G$1-2018)^2)/(((2012-2018)^2)+((2013-2018)^2)+((2014-2018)^2)+((2015-2018)^2)+((2016-2018)^2)+((2017-2018)^2)+((2018-2018)^2)+((2019-2018)^2)+((2020-2018)^2)+((2021-2018)^2)+((2022-2018)^2)+((2023-2018)^2)+((2024-2018)^2))))</f>
        <v>0.0374274301138105</v>
      </c>
      <c r="H15" s="8">
        <f t="shared" si="14"/>
        <v>0.0359032361272752</v>
      </c>
      <c r="I15" s="8">
        <f t="shared" si="14"/>
        <v>0.0347177519155256</v>
      </c>
      <c r="J15" s="8">
        <f t="shared" si="14"/>
        <v>0.0338709774785615</v>
      </c>
      <c r="K15" s="8">
        <f t="shared" si="14"/>
        <v>0.0333629128163831</v>
      </c>
      <c r="L15" s="8">
        <f t="shared" si="14"/>
        <v>0.0331935579289903</v>
      </c>
      <c r="M15" s="8">
        <f t="shared" si="14"/>
        <v>0.0333629128163831</v>
      </c>
      <c r="N15" s="8">
        <f t="shared" si="14"/>
        <v>0.0338709774785615</v>
      </c>
      <c r="O15" s="8">
        <f t="shared" si="14"/>
        <v>0.0347177519155256</v>
      </c>
      <c r="P15" s="8">
        <f t="shared" si="14"/>
        <v>0.0359032361272752</v>
      </c>
      <c r="Q15" s="8">
        <f t="shared" si="14"/>
        <v>0.0374274301138105</v>
      </c>
      <c r="R15" s="8">
        <f t="shared" si="14"/>
        <v>0.0392903338751314</v>
      </c>
    </row>
    <row r="16" spans="1:18">
      <c r="A16" s="8">
        <v>2.05022650783351e-7</v>
      </c>
      <c r="B16" s="8">
        <v>2.43772124583441</v>
      </c>
      <c r="C16" s="8">
        <v>1.31402637362638</v>
      </c>
      <c r="D16" s="8">
        <v>-2644.1889835165</v>
      </c>
      <c r="E16" s="6" t="s">
        <v>19</v>
      </c>
      <c r="F16" s="8">
        <f t="shared" si="1"/>
        <v>3.1074248847999</v>
      </c>
      <c r="G16" s="8">
        <f t="shared" ref="G16:R16" si="15">$B16*(1+(1/13)+(((G$1-2018)^2)/(((2012-2018)^2)+((2013-2018)^2)+((2014-2018)^2)+((2015-2018)^2)+((2016-2018)^2)+((2017-2018)^2)+((2018-2018)^2)+((2019-2018)^2)+((2020-2018)^2)+((2021-2018)^2)+((2022-2018)^2)+((2023-2018)^2)+((2024-2018)^2))))</f>
        <v>2.96009008422749</v>
      </c>
      <c r="H16" s="8">
        <f t="shared" si="15"/>
        <v>2.83954342921371</v>
      </c>
      <c r="I16" s="8">
        <f t="shared" si="15"/>
        <v>2.74578491975854</v>
      </c>
      <c r="J16" s="8">
        <f t="shared" si="15"/>
        <v>2.67881455586199</v>
      </c>
      <c r="K16" s="8">
        <f t="shared" si="15"/>
        <v>2.63863233752406</v>
      </c>
      <c r="L16" s="8">
        <f t="shared" si="15"/>
        <v>2.62523826474475</v>
      </c>
      <c r="M16" s="8">
        <f t="shared" si="15"/>
        <v>2.63863233752406</v>
      </c>
      <c r="N16" s="8">
        <f t="shared" si="15"/>
        <v>2.67881455586199</v>
      </c>
      <c r="O16" s="8">
        <f t="shared" si="15"/>
        <v>2.74578491975854</v>
      </c>
      <c r="P16" s="8">
        <f t="shared" si="15"/>
        <v>2.83954342921371</v>
      </c>
      <c r="Q16" s="8">
        <f t="shared" si="15"/>
        <v>2.96009008422749</v>
      </c>
      <c r="R16" s="8">
        <f t="shared" si="15"/>
        <v>3.1074248847999</v>
      </c>
    </row>
    <row r="17" spans="1:18">
      <c r="A17" s="8">
        <v>9.99547033061008e-8</v>
      </c>
      <c r="B17" s="8">
        <v>0.313976724455535</v>
      </c>
      <c r="C17" s="8">
        <v>0.505821978021982</v>
      </c>
      <c r="D17" s="8">
        <v>-1017.91036703297</v>
      </c>
      <c r="E17" s="6" t="s">
        <v>20</v>
      </c>
      <c r="F17" s="8">
        <f t="shared" si="1"/>
        <v>0.400234066338924</v>
      </c>
      <c r="G17" s="8">
        <f t="shared" ref="G17:R17" si="16">$B17*(1+(1/13)+(((G$1-2018)^2)/(((2012-2018)^2)+((2013-2018)^2)+((2014-2018)^2)+((2015-2018)^2)+((2016-2018)^2)+((2017-2018)^2)+((2018-2018)^2)+((2019-2018)^2)+((2020-2018)^2)+((2021-2018)^2)+((2022-2018)^2)+((2023-2018)^2)+((2024-2018)^2))))</f>
        <v>0.381257451124578</v>
      </c>
      <c r="H17" s="8">
        <f t="shared" si="16"/>
        <v>0.365731129585569</v>
      </c>
      <c r="I17" s="8">
        <f t="shared" si="16"/>
        <v>0.353655101721894</v>
      </c>
      <c r="J17" s="8">
        <f t="shared" si="16"/>
        <v>0.345029367533555</v>
      </c>
      <c r="K17" s="8">
        <f t="shared" si="16"/>
        <v>0.339853927020552</v>
      </c>
      <c r="L17" s="8">
        <f t="shared" si="16"/>
        <v>0.338128780182884</v>
      </c>
      <c r="M17" s="8">
        <f t="shared" si="16"/>
        <v>0.339853927020552</v>
      </c>
      <c r="N17" s="8">
        <f t="shared" si="16"/>
        <v>0.345029367533555</v>
      </c>
      <c r="O17" s="8">
        <f t="shared" si="16"/>
        <v>0.353655101721894</v>
      </c>
      <c r="P17" s="8">
        <f t="shared" si="16"/>
        <v>0.365731129585569</v>
      </c>
      <c r="Q17" s="8">
        <f t="shared" si="16"/>
        <v>0.381257451124578</v>
      </c>
      <c r="R17" s="8">
        <f t="shared" si="16"/>
        <v>0.400234066338924</v>
      </c>
    </row>
    <row r="18" spans="1:18">
      <c r="A18" s="8">
        <v>5.10199428239711e-7</v>
      </c>
      <c r="B18" s="8">
        <v>1.22956895142867</v>
      </c>
      <c r="C18" s="8">
        <v>0.852918681318688</v>
      </c>
      <c r="D18" s="8">
        <v>-1716.8199912088</v>
      </c>
      <c r="E18" s="6" t="s">
        <v>21</v>
      </c>
      <c r="F18" s="8">
        <f t="shared" si="1"/>
        <v>1.56736261940358</v>
      </c>
      <c r="G18" s="8">
        <f t="shared" ref="G18:R18" si="17">$B18*(1+(1/13)+(((G$1-2018)^2)/(((2012-2018)^2)+((2013-2018)^2)+((2014-2018)^2)+((2015-2018)^2)+((2016-2018)^2)+((2017-2018)^2)+((2018-2018)^2)+((2019-2018)^2)+((2020-2018)^2)+((2021-2018)^2)+((2022-2018)^2)+((2023-2018)^2)+((2024-2018)^2))))</f>
        <v>1.4930480124491</v>
      </c>
      <c r="H18" s="8">
        <f t="shared" si="17"/>
        <v>1.43224515221362</v>
      </c>
      <c r="I18" s="8">
        <f t="shared" si="17"/>
        <v>1.38495403869713</v>
      </c>
      <c r="J18" s="8">
        <f t="shared" si="17"/>
        <v>1.35117467189964</v>
      </c>
      <c r="K18" s="8">
        <f t="shared" si="17"/>
        <v>1.33090705182114</v>
      </c>
      <c r="L18" s="8">
        <f t="shared" si="17"/>
        <v>1.32415117846164</v>
      </c>
      <c r="M18" s="8">
        <f t="shared" si="17"/>
        <v>1.33090705182114</v>
      </c>
      <c r="N18" s="8">
        <f t="shared" si="17"/>
        <v>1.35117467189964</v>
      </c>
      <c r="O18" s="8">
        <f t="shared" si="17"/>
        <v>1.38495403869713</v>
      </c>
      <c r="P18" s="8">
        <f t="shared" si="17"/>
        <v>1.43224515221362</v>
      </c>
      <c r="Q18" s="8">
        <f t="shared" si="17"/>
        <v>1.4930480124491</v>
      </c>
      <c r="R18" s="8">
        <f t="shared" si="17"/>
        <v>1.56736261940358</v>
      </c>
    </row>
    <row r="19" spans="1:18">
      <c r="A19" s="8">
        <v>6.32870665256801e-10</v>
      </c>
      <c r="B19" s="8">
        <v>0.126634539000989</v>
      </c>
      <c r="C19" s="8">
        <v>0.519306593406596</v>
      </c>
      <c r="D19" s="8">
        <v>-1044.47252087913</v>
      </c>
      <c r="E19" s="6" t="s">
        <v>22</v>
      </c>
      <c r="F19" s="8">
        <f t="shared" si="1"/>
        <v>0.161424247517745</v>
      </c>
      <c r="G19" s="8">
        <f t="shared" ref="G19:R19" si="18">$B19*(1+(1/13)+(((G$1-2018)^2)/(((2012-2018)^2)+((2013-2018)^2)+((2014-2018)^2)+((2015-2018)^2)+((2016-2018)^2)+((2017-2018)^2)+((2018-2018)^2)+((2019-2018)^2)+((2020-2018)^2)+((2021-2018)^2)+((2022-2018)^2)+((2023-2018)^2)+((2024-2018)^2))))</f>
        <v>0.153770511644059</v>
      </c>
      <c r="H19" s="8">
        <f t="shared" si="18"/>
        <v>0.147508364111043</v>
      </c>
      <c r="I19" s="8">
        <f t="shared" si="18"/>
        <v>0.142637804918697</v>
      </c>
      <c r="J19" s="8">
        <f t="shared" si="18"/>
        <v>0.139158834067021</v>
      </c>
      <c r="K19" s="8">
        <f t="shared" si="18"/>
        <v>0.137071451556016</v>
      </c>
      <c r="L19" s="8">
        <f t="shared" si="18"/>
        <v>0.136375657385681</v>
      </c>
      <c r="M19" s="8">
        <f t="shared" si="18"/>
        <v>0.137071451556016</v>
      </c>
      <c r="N19" s="8">
        <f t="shared" si="18"/>
        <v>0.139158834067021</v>
      </c>
      <c r="O19" s="8">
        <f t="shared" si="18"/>
        <v>0.142637804918697</v>
      </c>
      <c r="P19" s="8">
        <f t="shared" si="18"/>
        <v>0.147508364111043</v>
      </c>
      <c r="Q19" s="8">
        <f t="shared" si="18"/>
        <v>0.153770511644059</v>
      </c>
      <c r="R19" s="8">
        <f t="shared" si="18"/>
        <v>0.161424247517745</v>
      </c>
    </row>
    <row r="20" spans="1:18">
      <c r="A20" s="8">
        <v>6.92420887212233e-11</v>
      </c>
      <c r="B20" s="8">
        <v>9.39547864616883</v>
      </c>
      <c r="C20" s="8">
        <v>5.49337197802201</v>
      </c>
      <c r="D20" s="8">
        <v>-11050.00939011</v>
      </c>
      <c r="E20" s="6" t="s">
        <v>23</v>
      </c>
      <c r="F20" s="8">
        <f t="shared" si="1"/>
        <v>11.976654098413</v>
      </c>
      <c r="G20" s="8">
        <f t="shared" ref="G20:R20" si="19">$B20*(1+(1/13)+(((G$1-2018)^2)/(((2012-2018)^2)+((2013-2018)^2)+((2014-2018)^2)+((2015-2018)^2)+((2016-2018)^2)+((2017-2018)^2)+((2018-2018)^2)+((2019-2018)^2)+((2020-2018)^2)+((2021-2018)^2)+((2022-2018)^2)+((2023-2018)^2)+((2024-2018)^2))))</f>
        <v>11.4087954989193</v>
      </c>
      <c r="H20" s="8">
        <f t="shared" si="19"/>
        <v>10.9441839175153</v>
      </c>
      <c r="I20" s="8">
        <f t="shared" si="19"/>
        <v>10.5828193542012</v>
      </c>
      <c r="J20" s="8">
        <f t="shared" si="19"/>
        <v>10.3247018089767</v>
      </c>
      <c r="K20" s="8">
        <f t="shared" si="19"/>
        <v>10.1698312818421</v>
      </c>
      <c r="L20" s="8">
        <f t="shared" si="19"/>
        <v>10.1182077727972</v>
      </c>
      <c r="M20" s="8">
        <f t="shared" si="19"/>
        <v>10.1698312818421</v>
      </c>
      <c r="N20" s="8">
        <f t="shared" si="19"/>
        <v>10.3247018089767</v>
      </c>
      <c r="O20" s="8">
        <f t="shared" si="19"/>
        <v>10.5828193542012</v>
      </c>
      <c r="P20" s="8">
        <f t="shared" si="19"/>
        <v>10.9441839175153</v>
      </c>
      <c r="Q20" s="8">
        <f t="shared" si="19"/>
        <v>11.4087954989193</v>
      </c>
      <c r="R20" s="8">
        <f t="shared" si="19"/>
        <v>11.976654098413</v>
      </c>
    </row>
    <row r="21" spans="1:18">
      <c r="A21" s="8">
        <v>6.65455728741684e-8</v>
      </c>
      <c r="B21" s="8">
        <v>0.0210195750599404</v>
      </c>
      <c r="C21" s="8">
        <v>0.136136813186814</v>
      </c>
      <c r="D21" s="8">
        <v>-273.899542857144</v>
      </c>
      <c r="E21" s="6" t="s">
        <v>24</v>
      </c>
      <c r="F21" s="8">
        <f t="shared" si="1"/>
        <v>0.0267941835928911</v>
      </c>
      <c r="G21" s="8">
        <f t="shared" ref="G21:R21" si="20">$B21*(1+(1/13)+(((G$1-2018)^2)/(((2012-2018)^2)+((2013-2018)^2)+((2014-2018)^2)+((2015-2018)^2)+((2016-2018)^2)+((2017-2018)^2)+((2018-2018)^2)+((2019-2018)^2)+((2020-2018)^2)+((2021-2018)^2)+((2022-2018)^2)+((2023-2018)^2)+((2024-2018)^2))))</f>
        <v>0.0255237697156419</v>
      </c>
      <c r="H21" s="8">
        <f t="shared" si="20"/>
        <v>0.0244843401797108</v>
      </c>
      <c r="I21" s="8">
        <f t="shared" si="20"/>
        <v>0.0236758949850977</v>
      </c>
      <c r="J21" s="8">
        <f t="shared" si="20"/>
        <v>0.0230984341318027</v>
      </c>
      <c r="K21" s="8">
        <f t="shared" si="20"/>
        <v>0.0227519576198256</v>
      </c>
      <c r="L21" s="8">
        <f t="shared" si="20"/>
        <v>0.0226364654491666</v>
      </c>
      <c r="M21" s="8">
        <f t="shared" si="20"/>
        <v>0.0227519576198256</v>
      </c>
      <c r="N21" s="8">
        <f t="shared" si="20"/>
        <v>0.0230984341318027</v>
      </c>
      <c r="O21" s="8">
        <f t="shared" si="20"/>
        <v>0.0236758949850977</v>
      </c>
      <c r="P21" s="8">
        <f t="shared" si="20"/>
        <v>0.0244843401797108</v>
      </c>
      <c r="Q21" s="8">
        <f t="shared" si="20"/>
        <v>0.0255237697156419</v>
      </c>
      <c r="R21" s="8">
        <f t="shared" si="20"/>
        <v>0.0267941835928911</v>
      </c>
    </row>
    <row r="22" spans="1:18">
      <c r="A22" s="8">
        <v>1.26097063531609e-6</v>
      </c>
      <c r="B22" s="8">
        <v>0.000905353966034028</v>
      </c>
      <c r="C22" s="8">
        <v>0.0211373626373627</v>
      </c>
      <c r="D22" s="8">
        <v>-42.4777285714288</v>
      </c>
      <c r="E22" s="6" t="s">
        <v>25</v>
      </c>
      <c r="F22" s="8">
        <f t="shared" si="1"/>
        <v>0.00115407758307634</v>
      </c>
      <c r="G22" s="8">
        <f t="shared" ref="G22:R22" si="21">$B22*(1+(1/13)+(((G$1-2018)^2)/(((2012-2018)^2)+((2013-2018)^2)+((2014-2018)^2)+((2015-2018)^2)+((2016-2018)^2)+((2017-2018)^2)+((2018-2018)^2)+((2019-2018)^2)+((2020-2018)^2)+((2021-2018)^2)+((2022-2018)^2)+((2023-2018)^2)+((2024-2018)^2))))</f>
        <v>0.00109935838732703</v>
      </c>
      <c r="H22" s="8">
        <f t="shared" si="21"/>
        <v>0.00105458813625942</v>
      </c>
      <c r="I22" s="8">
        <f t="shared" si="21"/>
        <v>0.00101976682987349</v>
      </c>
      <c r="J22" s="8">
        <f t="shared" si="21"/>
        <v>0.000994894468169262</v>
      </c>
      <c r="K22" s="8">
        <f t="shared" si="21"/>
        <v>0.000979971051146723</v>
      </c>
      <c r="L22" s="8">
        <f t="shared" si="21"/>
        <v>0.000974996578805877</v>
      </c>
      <c r="M22" s="8">
        <f t="shared" si="21"/>
        <v>0.000979971051146723</v>
      </c>
      <c r="N22" s="8">
        <f t="shared" si="21"/>
        <v>0.000994894468169262</v>
      </c>
      <c r="O22" s="8">
        <f t="shared" si="21"/>
        <v>0.00101976682987349</v>
      </c>
      <c r="P22" s="8">
        <f t="shared" si="21"/>
        <v>0.00105458813625942</v>
      </c>
      <c r="Q22" s="8">
        <f t="shared" si="21"/>
        <v>0.00109935838732703</v>
      </c>
      <c r="R22" s="8">
        <f t="shared" si="21"/>
        <v>0.00115407758307634</v>
      </c>
    </row>
    <row r="23" spans="1:18">
      <c r="A23" s="8">
        <v>5.30839634593033e-10</v>
      </c>
      <c r="B23" s="8">
        <v>0.0317105984615387</v>
      </c>
      <c r="C23" s="8">
        <v>0.26416153846154</v>
      </c>
      <c r="D23" s="8">
        <v>-531.422238461541</v>
      </c>
      <c r="E23" s="6" t="s">
        <v>26</v>
      </c>
      <c r="F23" s="8">
        <f t="shared" si="1"/>
        <v>0.0404223013355878</v>
      </c>
      <c r="G23" s="8">
        <f t="shared" ref="G23:R23" si="22">$B23*(1+(1/13)+(((G$1-2018)^2)/(((2012-2018)^2)+((2013-2018)^2)+((2014-2018)^2)+((2015-2018)^2)+((2016-2018)^2)+((2017-2018)^2)+((2018-2018)^2)+((2019-2018)^2)+((2020-2018)^2)+((2021-2018)^2)+((2022-2018)^2)+((2023-2018)^2)+((2024-2018)^2))))</f>
        <v>0.038505726703297</v>
      </c>
      <c r="H23" s="8">
        <f t="shared" si="22"/>
        <v>0.0369376201859682</v>
      </c>
      <c r="I23" s="8">
        <f t="shared" si="22"/>
        <v>0.0357179817836013</v>
      </c>
      <c r="J23" s="8">
        <f t="shared" si="22"/>
        <v>0.0348468114961964</v>
      </c>
      <c r="K23" s="8">
        <f t="shared" si="22"/>
        <v>0.0343241093237535</v>
      </c>
      <c r="L23" s="8">
        <f t="shared" si="22"/>
        <v>0.0341498752662725</v>
      </c>
      <c r="M23" s="8">
        <f t="shared" si="22"/>
        <v>0.0343241093237535</v>
      </c>
      <c r="N23" s="8">
        <f t="shared" si="22"/>
        <v>0.0348468114961964</v>
      </c>
      <c r="O23" s="8">
        <f t="shared" si="22"/>
        <v>0.0357179817836013</v>
      </c>
      <c r="P23" s="8">
        <f t="shared" si="22"/>
        <v>0.0369376201859682</v>
      </c>
      <c r="Q23" s="8">
        <f t="shared" si="22"/>
        <v>0.038505726703297</v>
      </c>
      <c r="R23" s="8">
        <f t="shared" si="22"/>
        <v>0.0404223013355878</v>
      </c>
    </row>
    <row r="24" spans="1:18">
      <c r="A24" s="8">
        <v>6.63610700154846e-10</v>
      </c>
      <c r="B24" s="8">
        <v>0.14423647384613</v>
      </c>
      <c r="C24" s="8">
        <v>0.551776923076926</v>
      </c>
      <c r="D24" s="8">
        <v>-1109.86012307693</v>
      </c>
      <c r="E24" s="6" t="s">
        <v>27</v>
      </c>
      <c r="F24" s="8">
        <f t="shared" si="1"/>
        <v>0.183861878748913</v>
      </c>
      <c r="G24" s="8">
        <f t="shared" ref="G24:R24" si="23">$B24*(1+(1/13)+(((G$1-2018)^2)/(((2012-2018)^2)+((2013-2018)^2)+((2014-2018)^2)+((2015-2018)^2)+((2016-2018)^2)+((2017-2018)^2)+((2018-2018)^2)+((2019-2018)^2)+((2020-2018)^2)+((2021-2018)^2)+((2022-2018)^2)+((2023-2018)^2)+((2024-2018)^2))))</f>
        <v>0.175144289670301</v>
      </c>
      <c r="H24" s="8">
        <f t="shared" si="23"/>
        <v>0.1680117167878</v>
      </c>
      <c r="I24" s="8">
        <f t="shared" si="23"/>
        <v>0.16246416010141</v>
      </c>
      <c r="J24" s="8">
        <f t="shared" si="23"/>
        <v>0.158501619611132</v>
      </c>
      <c r="K24" s="8">
        <f t="shared" si="23"/>
        <v>0.156124095316965</v>
      </c>
      <c r="L24" s="8">
        <f t="shared" si="23"/>
        <v>0.155331587218909</v>
      </c>
      <c r="M24" s="8">
        <f t="shared" si="23"/>
        <v>0.156124095316965</v>
      </c>
      <c r="N24" s="8">
        <f t="shared" si="23"/>
        <v>0.158501619611132</v>
      </c>
      <c r="O24" s="8">
        <f t="shared" si="23"/>
        <v>0.16246416010141</v>
      </c>
      <c r="P24" s="8">
        <f t="shared" si="23"/>
        <v>0.1680117167878</v>
      </c>
      <c r="Q24" s="8">
        <f t="shared" si="23"/>
        <v>0.175144289670301</v>
      </c>
      <c r="R24" s="8">
        <f t="shared" si="23"/>
        <v>0.183861878748913</v>
      </c>
    </row>
    <row r="25" spans="1:18">
      <c r="A25" s="8">
        <v>2.32302218256094e-7</v>
      </c>
      <c r="B25" s="8">
        <v>0.0103508593156834</v>
      </c>
      <c r="C25" s="8">
        <v>0.0845818681318686</v>
      </c>
      <c r="D25" s="8">
        <v>-170.019163736265</v>
      </c>
      <c r="E25" s="6" t="s">
        <v>28</v>
      </c>
      <c r="F25" s="8">
        <f t="shared" si="1"/>
        <v>0.0131945019848272</v>
      </c>
      <c r="G25" s="8">
        <f t="shared" ref="G25:R25" si="24">$B25*(1+(1/13)+(((G$1-2018)^2)/(((2012-2018)^2)+((2013-2018)^2)+((2014-2018)^2)+((2015-2018)^2)+((2016-2018)^2)+((2017-2018)^2)+((2018-2018)^2)+((2019-2018)^2)+((2020-2018)^2)+((2021-2018)^2)+((2022-2018)^2)+((2023-2018)^2)+((2024-2018)^2))))</f>
        <v>0.0125689005976156</v>
      </c>
      <c r="H25" s="8">
        <f t="shared" si="24"/>
        <v>0.0120570449171697</v>
      </c>
      <c r="I25" s="8">
        <f t="shared" si="24"/>
        <v>0.0116589349434895</v>
      </c>
      <c r="J25" s="8">
        <f t="shared" si="24"/>
        <v>0.0113745706765752</v>
      </c>
      <c r="K25" s="8">
        <f t="shared" si="24"/>
        <v>0.0112039521164265</v>
      </c>
      <c r="L25" s="8">
        <f t="shared" si="24"/>
        <v>0.0111470792630437</v>
      </c>
      <c r="M25" s="8">
        <f t="shared" si="24"/>
        <v>0.0112039521164265</v>
      </c>
      <c r="N25" s="8">
        <f t="shared" si="24"/>
        <v>0.0113745706765752</v>
      </c>
      <c r="O25" s="8">
        <f t="shared" si="24"/>
        <v>0.0116589349434895</v>
      </c>
      <c r="P25" s="8">
        <f t="shared" si="24"/>
        <v>0.0120570449171697</v>
      </c>
      <c r="Q25" s="8">
        <f t="shared" si="24"/>
        <v>0.0125689005976156</v>
      </c>
      <c r="R25" s="8">
        <f t="shared" si="24"/>
        <v>0.0131945019848272</v>
      </c>
    </row>
    <row r="26" spans="1:18">
      <c r="A26" s="8">
        <v>1.11709110412539e-9</v>
      </c>
      <c r="B26" s="8">
        <v>0.00796607550449498</v>
      </c>
      <c r="C26" s="8">
        <v>0.123514285714286</v>
      </c>
      <c r="D26" s="8">
        <v>-248.437459340661</v>
      </c>
      <c r="E26" s="6" t="s">
        <v>29</v>
      </c>
      <c r="F26" s="8">
        <f t="shared" si="1"/>
        <v>0.0101545577859496</v>
      </c>
      <c r="G26" s="8">
        <f t="shared" ref="G26:R26" si="25">$B26*(1+(1/13)+(((G$1-2018)^2)/(((2012-2018)^2)+((2013-2018)^2)+((2014-2018)^2)+((2015-2018)^2)+((2016-2018)^2)+((2017-2018)^2)+((2018-2018)^2)+((2019-2018)^2)+((2020-2018)^2)+((2021-2018)^2)+((2022-2018)^2)+((2023-2018)^2)+((2024-2018)^2))))</f>
        <v>0.00967309168402962</v>
      </c>
      <c r="H26" s="8">
        <f t="shared" si="25"/>
        <v>0.00927916487336778</v>
      </c>
      <c r="I26" s="8">
        <f t="shared" si="25"/>
        <v>0.00897277735396413</v>
      </c>
      <c r="J26" s="8">
        <f t="shared" si="25"/>
        <v>0.00875392912581866</v>
      </c>
      <c r="K26" s="8">
        <f t="shared" si="25"/>
        <v>0.00862262018893138</v>
      </c>
      <c r="L26" s="8">
        <f t="shared" si="25"/>
        <v>0.00857885054330229</v>
      </c>
      <c r="M26" s="8">
        <f t="shared" si="25"/>
        <v>0.00862262018893138</v>
      </c>
      <c r="N26" s="8">
        <f t="shared" si="25"/>
        <v>0.00875392912581866</v>
      </c>
      <c r="O26" s="8">
        <f t="shared" si="25"/>
        <v>0.00897277735396413</v>
      </c>
      <c r="P26" s="8">
        <f t="shared" si="25"/>
        <v>0.00927916487336778</v>
      </c>
      <c r="Q26" s="8">
        <f t="shared" si="25"/>
        <v>0.00967309168402962</v>
      </c>
      <c r="R26" s="8">
        <f t="shared" si="25"/>
        <v>0.0101545577859496</v>
      </c>
    </row>
    <row r="27" spans="1:18">
      <c r="A27" s="8">
        <v>4.44860403665001e-6</v>
      </c>
      <c r="B27" s="8">
        <v>1.37360439560447e-5</v>
      </c>
      <c r="C27" s="8">
        <v>0.0022879120879121</v>
      </c>
      <c r="D27" s="8">
        <v>-4.60188351648355</v>
      </c>
      <c r="E27" s="6" t="s">
        <v>30</v>
      </c>
      <c r="F27" s="8">
        <f t="shared" si="1"/>
        <v>1.75096824055075e-5</v>
      </c>
      <c r="G27" s="8">
        <f t="shared" ref="G27:R27" si="26">$B27*(1+(1/13)+(((G$1-2018)^2)/(((2012-2018)^2)+((2013-2018)^2)+((2014-2018)^2)+((2015-2018)^2)+((2016-2018)^2)+((2017-2018)^2)+((2018-2018)^2)+((2019-2018)^2)+((2020-2018)^2)+((2021-2018)^2)+((2022-2018)^2)+((2023-2018)^2)+((2024-2018)^2))))</f>
        <v>1.66794819466257e-5</v>
      </c>
      <c r="H27" s="8">
        <f t="shared" si="26"/>
        <v>1.60002270257223e-5</v>
      </c>
      <c r="I27" s="8">
        <f t="shared" si="26"/>
        <v>1.54719176427975e-5</v>
      </c>
      <c r="J27" s="8">
        <f t="shared" si="26"/>
        <v>1.50945537978513e-5</v>
      </c>
      <c r="K27" s="8">
        <f t="shared" si="26"/>
        <v>1.48681354908835e-5</v>
      </c>
      <c r="L27" s="8">
        <f t="shared" si="26"/>
        <v>1.47926627218942e-5</v>
      </c>
      <c r="M27" s="8">
        <f t="shared" si="26"/>
        <v>1.48681354908835e-5</v>
      </c>
      <c r="N27" s="8">
        <f t="shared" si="26"/>
        <v>1.50945537978513e-5</v>
      </c>
      <c r="O27" s="8">
        <f t="shared" si="26"/>
        <v>1.54719176427975e-5</v>
      </c>
      <c r="P27" s="8">
        <f t="shared" si="26"/>
        <v>1.60002270257223e-5</v>
      </c>
      <c r="Q27" s="8">
        <f t="shared" si="26"/>
        <v>1.66794819466257e-5</v>
      </c>
      <c r="R27" s="8">
        <f t="shared" si="26"/>
        <v>1.75096824055075e-5</v>
      </c>
    </row>
    <row r="28" spans="1:18">
      <c r="A28" s="8">
        <v>3.82531591316156e-8</v>
      </c>
      <c r="B28" s="8">
        <v>0.0629528960389645</v>
      </c>
      <c r="C28" s="8">
        <v>0.248506043956046</v>
      </c>
      <c r="D28" s="8">
        <v>-499.773119780223</v>
      </c>
      <c r="E28" s="6" t="s">
        <v>31</v>
      </c>
      <c r="F28" s="8">
        <f t="shared" si="1"/>
        <v>0.0802476476980206</v>
      </c>
      <c r="G28" s="8">
        <f t="shared" ref="G28:R28" si="27">$B28*(1+(1/13)+(((G$1-2018)^2)/(((2012-2018)^2)+((2013-2018)^2)+((2014-2018)^2)+((2015-2018)^2)+((2016-2018)^2)+((2017-2018)^2)+((2018-2018)^2)+((2019-2018)^2)+((2020-2018)^2)+((2021-2018)^2)+((2022-2018)^2)+((2023-2018)^2)+((2024-2018)^2))))</f>
        <v>0.0764428023330283</v>
      </c>
      <c r="H28" s="8">
        <f t="shared" si="27"/>
        <v>0.0733297470343982</v>
      </c>
      <c r="I28" s="8">
        <f t="shared" si="27"/>
        <v>0.0709084818021303</v>
      </c>
      <c r="J28" s="8">
        <f t="shared" si="27"/>
        <v>0.0691790066362247</v>
      </c>
      <c r="K28" s="8">
        <f t="shared" si="27"/>
        <v>0.0681413215366813</v>
      </c>
      <c r="L28" s="8">
        <f t="shared" si="27"/>
        <v>0.0677954265035002</v>
      </c>
      <c r="M28" s="8">
        <f t="shared" si="27"/>
        <v>0.0681413215366813</v>
      </c>
      <c r="N28" s="8">
        <f t="shared" si="27"/>
        <v>0.0691790066362247</v>
      </c>
      <c r="O28" s="8">
        <f t="shared" si="27"/>
        <v>0.0709084818021303</v>
      </c>
      <c r="P28" s="8">
        <f t="shared" si="27"/>
        <v>0.0733297470343982</v>
      </c>
      <c r="Q28" s="8">
        <f t="shared" si="27"/>
        <v>0.0764428023330283</v>
      </c>
      <c r="R28" s="8">
        <f t="shared" si="27"/>
        <v>0.0802476476980206</v>
      </c>
    </row>
    <row r="29" spans="1:18">
      <c r="A29" s="8">
        <v>2.15501757096626e-7</v>
      </c>
      <c r="B29" s="8">
        <v>0.00489232952547466</v>
      </c>
      <c r="C29" s="8">
        <v>0.0585796703296708</v>
      </c>
      <c r="D29" s="8">
        <v>-117.852474725276</v>
      </c>
      <c r="E29" s="6" t="s">
        <v>32</v>
      </c>
      <c r="F29" s="8">
        <f t="shared" si="1"/>
        <v>0.00623637609840726</v>
      </c>
      <c r="G29" s="8">
        <f t="shared" ref="G29:R29" si="28">$B29*(1+(1/13)+(((G$1-2018)^2)/(((2012-2018)^2)+((2013-2018)^2)+((2014-2018)^2)+((2015-2018)^2)+((2016-2018)^2)+((2017-2018)^2)+((2018-2018)^2)+((2019-2018)^2)+((2020-2018)^2)+((2021-2018)^2)+((2022-2018)^2)+((2023-2018)^2)+((2024-2018)^2))))</f>
        <v>0.00594068585236209</v>
      </c>
      <c r="H29" s="8">
        <f t="shared" si="28"/>
        <v>0.00569875746923422</v>
      </c>
      <c r="I29" s="8">
        <f t="shared" si="28"/>
        <v>0.00551059094902366</v>
      </c>
      <c r="J29" s="8">
        <f t="shared" si="28"/>
        <v>0.0053761862917304</v>
      </c>
      <c r="K29" s="8">
        <f t="shared" si="28"/>
        <v>0.00529554349735444</v>
      </c>
      <c r="L29" s="8">
        <f t="shared" si="28"/>
        <v>0.00526866256589579</v>
      </c>
      <c r="M29" s="8">
        <f t="shared" si="28"/>
        <v>0.00529554349735444</v>
      </c>
      <c r="N29" s="8">
        <f t="shared" si="28"/>
        <v>0.0053761862917304</v>
      </c>
      <c r="O29" s="8">
        <f t="shared" si="28"/>
        <v>0.00551059094902366</v>
      </c>
      <c r="P29" s="8">
        <f t="shared" si="28"/>
        <v>0.00569875746923422</v>
      </c>
      <c r="Q29" s="8">
        <f t="shared" si="28"/>
        <v>0.00594068585236209</v>
      </c>
      <c r="R29" s="8">
        <f t="shared" si="28"/>
        <v>0.00623637609840726</v>
      </c>
    </row>
    <row r="30" spans="1:18">
      <c r="A30" s="8">
        <v>9.43750799009899e-7</v>
      </c>
      <c r="B30" s="8">
        <v>0.000394375959040958</v>
      </c>
      <c r="C30" s="8">
        <v>0.0143642857142858</v>
      </c>
      <c r="D30" s="8">
        <v>-28.908697802198</v>
      </c>
      <c r="E30" s="6" t="s">
        <v>33</v>
      </c>
      <c r="F30" s="8">
        <f t="shared" si="1"/>
        <v>0.000502721002733529</v>
      </c>
      <c r="G30" s="8">
        <f t="shared" ref="G30:R30" si="29">$B30*(1+(1/13)+(((G$1-2018)^2)/(((2012-2018)^2)+((2013-2018)^2)+((2014-2018)^2)+((2015-2018)^2)+((2016-2018)^2)+((2017-2018)^2)+((2018-2018)^2)+((2019-2018)^2)+((2020-2018)^2)+((2021-2018)^2)+((2022-2018)^2)+((2023-2018)^2)+((2024-2018)^2))))</f>
        <v>0.000478885093121163</v>
      </c>
      <c r="H30" s="8">
        <f t="shared" si="29"/>
        <v>0.000459382985256501</v>
      </c>
      <c r="I30" s="8">
        <f t="shared" si="29"/>
        <v>0.000444214679139541</v>
      </c>
      <c r="J30" s="8">
        <f t="shared" si="29"/>
        <v>0.000433380174770284</v>
      </c>
      <c r="K30" s="8">
        <f t="shared" si="29"/>
        <v>0.000426879472148729</v>
      </c>
      <c r="L30" s="8">
        <f t="shared" si="29"/>
        <v>0.000424712571274878</v>
      </c>
      <c r="M30" s="8">
        <f t="shared" si="29"/>
        <v>0.000426879472148729</v>
      </c>
      <c r="N30" s="8">
        <f t="shared" si="29"/>
        <v>0.000433380174770284</v>
      </c>
      <c r="O30" s="8">
        <f t="shared" si="29"/>
        <v>0.000444214679139541</v>
      </c>
      <c r="P30" s="8">
        <f t="shared" si="29"/>
        <v>0.000459382985256501</v>
      </c>
      <c r="Q30" s="8">
        <f t="shared" si="29"/>
        <v>0.000478885093121163</v>
      </c>
      <c r="R30" s="8">
        <f t="shared" si="29"/>
        <v>0.000502721002733529</v>
      </c>
    </row>
    <row r="31" spans="1:18">
      <c r="A31" s="8">
        <v>3.34500730767635e-8</v>
      </c>
      <c r="B31" s="8">
        <v>0.00222893316183816</v>
      </c>
      <c r="C31" s="8">
        <v>0.0473664835164839</v>
      </c>
      <c r="D31" s="8">
        <v>-95.3368560439568</v>
      </c>
      <c r="E31" s="6" t="s">
        <v>34</v>
      </c>
      <c r="F31" s="8">
        <f t="shared" si="1"/>
        <v>0.00284127743706842</v>
      </c>
      <c r="G31" s="8">
        <f t="shared" ref="G31:R31" si="30">$B31*(1+(1/13)+(((G$1-2018)^2)/(((2012-2018)^2)+((2013-2018)^2)+((2014-2018)^2)+((2015-2018)^2)+((2016-2018)^2)+((2017-2018)^2)+((2018-2018)^2)+((2019-2018)^2)+((2020-2018)^2)+((2021-2018)^2)+((2022-2018)^2)+((2023-2018)^2)+((2024-2018)^2))))</f>
        <v>0.00270656169651777</v>
      </c>
      <c r="H31" s="8">
        <f t="shared" si="30"/>
        <v>0.00259633972697632</v>
      </c>
      <c r="I31" s="8">
        <f t="shared" si="30"/>
        <v>0.00251061152844408</v>
      </c>
      <c r="J31" s="8">
        <f t="shared" si="30"/>
        <v>0.00244937710092106</v>
      </c>
      <c r="K31" s="8">
        <f t="shared" si="30"/>
        <v>0.00241263644440724</v>
      </c>
      <c r="L31" s="8">
        <f t="shared" si="30"/>
        <v>0.00240038955890263</v>
      </c>
      <c r="M31" s="8">
        <f t="shared" si="30"/>
        <v>0.00241263644440724</v>
      </c>
      <c r="N31" s="8">
        <f t="shared" si="30"/>
        <v>0.00244937710092106</v>
      </c>
      <c r="O31" s="8">
        <f t="shared" si="30"/>
        <v>0.00251061152844408</v>
      </c>
      <c r="P31" s="8">
        <f t="shared" si="30"/>
        <v>0.00259633972697632</v>
      </c>
      <c r="Q31" s="8">
        <f t="shared" si="30"/>
        <v>0.00270656169651777</v>
      </c>
      <c r="R31" s="8">
        <f t="shared" si="30"/>
        <v>0.00284127743706842</v>
      </c>
    </row>
    <row r="32" spans="1:18">
      <c r="A32" s="8">
        <v>7.24215312016242e-6</v>
      </c>
      <c r="B32" s="8">
        <v>0.017528640834165</v>
      </c>
      <c r="C32" s="8">
        <v>0.0776620879120885</v>
      </c>
      <c r="D32" s="8">
        <v>-156.329154945056</v>
      </c>
      <c r="E32" s="6" t="s">
        <v>35</v>
      </c>
      <c r="F32" s="8">
        <f t="shared" si="1"/>
        <v>0.0223442015028917</v>
      </c>
      <c r="G32" s="8">
        <f t="shared" ref="G32:R32" si="31">$B32*(1+(1/13)+(((G$1-2018)^2)/(((2012-2018)^2)+((2013-2018)^2)+((2014-2018)^2)+((2015-2018)^2)+((2016-2018)^2)+((2017-2018)^2)+((2018-2018)^2)+((2019-2018)^2)+((2020-2018)^2)+((2021-2018)^2)+((2022-2018)^2)+((2023-2018)^2)+((2024-2018)^2))))</f>
        <v>0.0212847781557718</v>
      </c>
      <c r="H32" s="8">
        <f t="shared" si="31"/>
        <v>0.020417977235401</v>
      </c>
      <c r="I32" s="8">
        <f t="shared" si="31"/>
        <v>0.0197437987417793</v>
      </c>
      <c r="J32" s="8">
        <f t="shared" si="31"/>
        <v>0.0192622426749066</v>
      </c>
      <c r="K32" s="8">
        <f t="shared" si="31"/>
        <v>0.018973309034783</v>
      </c>
      <c r="L32" s="8">
        <f t="shared" si="31"/>
        <v>0.0188769978214085</v>
      </c>
      <c r="M32" s="8">
        <f t="shared" si="31"/>
        <v>0.018973309034783</v>
      </c>
      <c r="N32" s="8">
        <f t="shared" si="31"/>
        <v>0.0192622426749066</v>
      </c>
      <c r="O32" s="8">
        <f t="shared" si="31"/>
        <v>0.0197437987417793</v>
      </c>
      <c r="P32" s="8">
        <f t="shared" si="31"/>
        <v>0.020417977235401</v>
      </c>
      <c r="Q32" s="8">
        <f t="shared" si="31"/>
        <v>0.0212847781557718</v>
      </c>
      <c r="R32" s="8">
        <f t="shared" si="31"/>
        <v>0.0223442015028917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"/>
  <sheetViews>
    <sheetView tabSelected="1" zoomScale="70" zoomScaleNormal="70" workbookViewId="0">
      <selection activeCell="A2" sqref="A2:A33"/>
    </sheetView>
  </sheetViews>
  <sheetFormatPr defaultColWidth="8.88888888888889" defaultRowHeight="14.4"/>
  <cols>
    <col min="2" max="2" width="10.7777777777778"/>
    <col min="3" max="3" width="15.2222222222222"/>
    <col min="4" max="4" width="13"/>
    <col min="5" max="5" width="17.5555555555556"/>
    <col min="6" max="6" width="12.8888888888889"/>
    <col min="7" max="7" width="15.2222222222222"/>
    <col min="8" max="8" width="13"/>
    <col min="9" max="9" width="17.5555555555556"/>
    <col min="10" max="11" width="12.8888888888889"/>
    <col min="12" max="12" width="14.1111111111111"/>
    <col min="13" max="13" width="15.2222222222222"/>
    <col min="14" max="14" width="10.7777777777778"/>
    <col min="15" max="15" width="18.6666666666667"/>
    <col min="16" max="16" width="14.1111111111111"/>
    <col min="17" max="17" width="18.6666666666667"/>
    <col min="18" max="19" width="9.66666666666667"/>
    <col min="20" max="20" width="10.7777777777778"/>
    <col min="21" max="21" width="15.2222222222222"/>
  </cols>
  <sheetData>
    <row r="1" spans="1:21"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21">
      <c r="A2" s="1" t="s">
        <v>4</v>
      </c>
      <c r="B2" t="s">
        <v>54</v>
      </c>
      <c r="C2" t="s">
        <v>1</v>
      </c>
      <c r="D2" t="s">
        <v>2</v>
      </c>
      <c r="E2" t="s">
        <v>3</v>
      </c>
      <c r="F2" t="s">
        <v>54</v>
      </c>
      <c r="G2" t="s">
        <v>1</v>
      </c>
      <c r="H2" t="s">
        <v>2</v>
      </c>
      <c r="I2" t="s">
        <v>3</v>
      </c>
      <c r="J2" t="s">
        <v>54</v>
      </c>
      <c r="K2" t="s">
        <v>1</v>
      </c>
      <c r="L2" t="s">
        <v>2</v>
      </c>
      <c r="M2" t="s">
        <v>3</v>
      </c>
      <c r="N2" t="s">
        <v>54</v>
      </c>
      <c r="O2" t="s">
        <v>1</v>
      </c>
      <c r="P2" t="s">
        <v>2</v>
      </c>
      <c r="Q2" t="s">
        <v>3</v>
      </c>
      <c r="R2" t="s">
        <v>54</v>
      </c>
      <c r="S2" t="s">
        <v>1</v>
      </c>
      <c r="T2" t="s">
        <v>2</v>
      </c>
      <c r="U2" t="s">
        <v>3</v>
      </c>
    </row>
    <row r="3" spans="1:21">
      <c r="A3" s="2" t="s">
        <v>5</v>
      </c>
      <c r="B3" s="3" t="s">
        <v>55</v>
      </c>
      <c r="C3" s="3">
        <v>1022.92123568878</v>
      </c>
      <c r="D3" s="3">
        <v>19.4134920329672</v>
      </c>
      <c r="E3" s="3">
        <v>-38881.0628386816</v>
      </c>
      <c r="F3" s="3" t="s">
        <v>55</v>
      </c>
      <c r="G3" s="3">
        <v>3329.28215128133</v>
      </c>
      <c r="H3" s="3">
        <v>42.1092679670332</v>
      </c>
      <c r="I3" s="3">
        <v>-84533.4578851653</v>
      </c>
      <c r="J3" s="3" t="s">
        <v>56</v>
      </c>
      <c r="K3" s="3">
        <v>0.481667640017133</v>
      </c>
      <c r="L3" s="3">
        <v>0.00747269230769369</v>
      </c>
      <c r="M3" s="3">
        <v>-9.84178923077203</v>
      </c>
      <c r="N3" s="3" t="s">
        <v>55</v>
      </c>
      <c r="O3" s="3">
        <v>868696.555817541</v>
      </c>
      <c r="P3" s="3">
        <v>334.770796758242</v>
      </c>
      <c r="Q3" s="3">
        <v>-670553.060918133</v>
      </c>
      <c r="R3" s="4" t="s">
        <v>55</v>
      </c>
      <c r="S3" s="4">
        <v>0.276294206108889</v>
      </c>
      <c r="T3" s="5">
        <v>0.690290659340663</v>
      </c>
      <c r="U3" s="5">
        <v>-1388.33752747254</v>
      </c>
    </row>
    <row r="4" spans="1:21">
      <c r="A4" s="2" t="s">
        <v>6</v>
      </c>
      <c r="B4" s="3" t="s">
        <v>56</v>
      </c>
      <c r="C4" s="3">
        <v>2122.77744876162</v>
      </c>
      <c r="D4" s="3">
        <v>-2.29646571428577</v>
      </c>
      <c r="E4" s="3">
        <v>4915.81906835176</v>
      </c>
      <c r="F4" s="3" t="s">
        <v>55</v>
      </c>
      <c r="G4" s="3">
        <v>1210.27474581549</v>
      </c>
      <c r="H4" s="3">
        <v>6.17717725274725</v>
      </c>
      <c r="I4" s="3">
        <v>-12205.7265175824</v>
      </c>
      <c r="J4" s="3" t="s">
        <v>55</v>
      </c>
      <c r="K4" s="3">
        <v>1.2158669208895</v>
      </c>
      <c r="L4" s="3">
        <v>-0.194153846153848</v>
      </c>
      <c r="M4" s="3">
        <v>397.881104615389</v>
      </c>
      <c r="N4" s="3" t="s">
        <v>55</v>
      </c>
      <c r="O4" s="3">
        <v>442596.81971218</v>
      </c>
      <c r="P4" s="3">
        <v>-109.43783302198</v>
      </c>
      <c r="Q4" s="3">
        <v>225500.89465451</v>
      </c>
      <c r="R4" s="4" t="s">
        <v>55</v>
      </c>
      <c r="S4" s="4">
        <v>0.0496364134215789</v>
      </c>
      <c r="T4" s="4">
        <v>0.189937912087913</v>
      </c>
      <c r="U4" s="4">
        <v>-381.155214285716</v>
      </c>
    </row>
    <row r="5" spans="1:21">
      <c r="A5" s="6" t="s">
        <v>7</v>
      </c>
      <c r="B5" s="3" t="s">
        <v>55</v>
      </c>
      <c r="C5" s="3">
        <v>1376.38104504564</v>
      </c>
      <c r="D5" s="3">
        <v>46.729342692308</v>
      </c>
      <c r="E5" s="3">
        <v>-93868.2746069236</v>
      </c>
      <c r="F5" s="3" t="s">
        <v>55</v>
      </c>
      <c r="G5" s="3">
        <v>5713.91376328876</v>
      </c>
      <c r="H5" s="3">
        <v>70.0571569780224</v>
      </c>
      <c r="I5" s="3">
        <v>-140887.392131649</v>
      </c>
      <c r="J5" s="3" t="s">
        <v>55</v>
      </c>
      <c r="K5" s="3">
        <v>1.64907593789539</v>
      </c>
      <c r="L5" s="3">
        <v>0.522417307692312</v>
      </c>
      <c r="M5" s="3">
        <v>-1045.56720846155</v>
      </c>
      <c r="N5" s="3" t="s">
        <v>55</v>
      </c>
      <c r="O5" s="3">
        <v>692398.759171029</v>
      </c>
      <c r="P5" s="3">
        <v>831.376014340664</v>
      </c>
      <c r="Q5" s="3">
        <v>-1671393.52325023</v>
      </c>
      <c r="R5" s="4" t="s">
        <v>55</v>
      </c>
      <c r="S5" s="4">
        <v>0.0992094981019034</v>
      </c>
      <c r="T5" s="4">
        <v>0.402559340659343</v>
      </c>
      <c r="U5" s="4">
        <v>-810.184149450555</v>
      </c>
    </row>
    <row r="6" spans="1:21">
      <c r="A6" s="6" t="s">
        <v>8</v>
      </c>
      <c r="B6" s="3" t="s">
        <v>55</v>
      </c>
      <c r="C6" s="3">
        <v>431.94236548323</v>
      </c>
      <c r="D6" s="3">
        <v>10.1443534065935</v>
      </c>
      <c r="E6" s="3">
        <v>-20323.9133514287</v>
      </c>
      <c r="F6" s="3" t="s">
        <v>55</v>
      </c>
      <c r="G6" s="3">
        <v>591.69907399229</v>
      </c>
      <c r="H6" s="3">
        <v>11.1612681318682</v>
      </c>
      <c r="I6" s="3">
        <v>-22390.2378024177</v>
      </c>
      <c r="J6" s="3" t="s">
        <v>55</v>
      </c>
      <c r="K6" s="3">
        <v>0.185904889644755</v>
      </c>
      <c r="L6" s="3">
        <v>0.0758215384615391</v>
      </c>
      <c r="M6" s="3">
        <v>-149.640649230771</v>
      </c>
      <c r="N6" s="3" t="s">
        <v>55</v>
      </c>
      <c r="O6" s="3">
        <v>109891.939821262</v>
      </c>
      <c r="P6" s="3">
        <v>244.349670274726</v>
      </c>
      <c r="Q6" s="3">
        <v>-491133.26881209</v>
      </c>
      <c r="R6" s="4" t="s">
        <v>55</v>
      </c>
      <c r="S6" s="4">
        <v>0.00693125410589368</v>
      </c>
      <c r="T6" s="4">
        <v>0.117585714285715</v>
      </c>
      <c r="U6" s="4">
        <v>-236.458625274727</v>
      </c>
    </row>
    <row r="7" spans="1:21">
      <c r="A7" s="2" t="s">
        <v>9</v>
      </c>
      <c r="B7" s="3" t="s">
        <v>55</v>
      </c>
      <c r="C7" s="3">
        <v>300.652954130932</v>
      </c>
      <c r="D7" s="3">
        <v>8.49263637362642</v>
      </c>
      <c r="E7" s="3">
        <v>-17005.604428132</v>
      </c>
      <c r="F7" s="3" t="s">
        <v>55</v>
      </c>
      <c r="G7" s="3">
        <v>845.565632773846</v>
      </c>
      <c r="H7" s="3">
        <v>14.2338626923078</v>
      </c>
      <c r="I7" s="3">
        <v>-28614.8146100002</v>
      </c>
      <c r="J7" s="3" t="s">
        <v>56</v>
      </c>
      <c r="K7" s="3">
        <v>0.380883436643956</v>
      </c>
      <c r="L7" s="3">
        <v>-0.00972362637362557</v>
      </c>
      <c r="M7" s="3">
        <v>21.9816949450533</v>
      </c>
      <c r="N7" s="3" t="s">
        <v>55</v>
      </c>
      <c r="O7" s="3">
        <v>200062.725153686</v>
      </c>
      <c r="P7" s="3">
        <v>214.835784010991</v>
      </c>
      <c r="Q7" s="3">
        <v>-432137.721769564</v>
      </c>
      <c r="R7" s="4" t="s">
        <v>55</v>
      </c>
      <c r="S7" s="4">
        <v>0.0501173542457561</v>
      </c>
      <c r="T7" s="4">
        <v>0.102808791208792</v>
      </c>
      <c r="U7" s="4">
        <v>-206.927302197804</v>
      </c>
    </row>
    <row r="8" spans="1:21">
      <c r="A8" s="6" t="s">
        <v>10</v>
      </c>
      <c r="B8" s="3" t="s">
        <v>55</v>
      </c>
      <c r="C8" s="3">
        <v>1549.72143176195</v>
      </c>
      <c r="D8" s="3">
        <v>10.3917570329671</v>
      </c>
      <c r="E8" s="3">
        <v>-20646.8332394507</v>
      </c>
      <c r="F8" s="3" t="s">
        <v>55</v>
      </c>
      <c r="G8" s="3">
        <v>1624.5910001086</v>
      </c>
      <c r="H8" s="3">
        <v>12.8014018681319</v>
      </c>
      <c r="I8" s="3">
        <v>-25496.0888083518</v>
      </c>
      <c r="J8" s="3" t="s">
        <v>55</v>
      </c>
      <c r="K8" s="3">
        <v>0.4001806769115</v>
      </c>
      <c r="L8" s="3">
        <v>0.136843516483517</v>
      </c>
      <c r="M8" s="3">
        <v>-270.31594934066</v>
      </c>
      <c r="N8" s="3" t="s">
        <v>55</v>
      </c>
      <c r="O8" s="3">
        <v>156324.930491665</v>
      </c>
      <c r="P8" s="3">
        <v>139.311394395604</v>
      </c>
      <c r="Q8" s="3">
        <v>-276921.015813406</v>
      </c>
      <c r="R8" s="4" t="s">
        <v>55</v>
      </c>
      <c r="S8" s="4">
        <v>0.0404040671928072</v>
      </c>
      <c r="T8" s="4">
        <v>0.314509890109892</v>
      </c>
      <c r="U8" s="4">
        <v>-632.499573626377</v>
      </c>
    </row>
    <row r="9" spans="1:21">
      <c r="A9" s="7" t="s">
        <v>11</v>
      </c>
      <c r="B9" s="3" t="s">
        <v>55</v>
      </c>
      <c r="C9" s="3">
        <v>175.515862555193</v>
      </c>
      <c r="D9" s="3">
        <v>2.97779104395607</v>
      </c>
      <c r="E9" s="3">
        <v>-5927.18470208796</v>
      </c>
      <c r="F9" s="3" t="s">
        <v>55</v>
      </c>
      <c r="G9" s="3">
        <v>304.120663753238</v>
      </c>
      <c r="H9" s="3">
        <v>13.368353901099</v>
      </c>
      <c r="I9" s="3">
        <v>-26834.2658093409</v>
      </c>
      <c r="J9" s="3" t="s">
        <v>55</v>
      </c>
      <c r="K9" s="3">
        <v>0.133063460261892</v>
      </c>
      <c r="L9" s="3">
        <v>-0.098001153846154</v>
      </c>
      <c r="M9" s="3">
        <v>199.601913076923</v>
      </c>
      <c r="N9" s="3" t="s">
        <v>56</v>
      </c>
      <c r="O9" s="3">
        <v>380288.166028799</v>
      </c>
      <c r="P9" s="3">
        <v>50.0542406043959</v>
      </c>
      <c r="Q9" s="3">
        <v>-98940.1248273633</v>
      </c>
      <c r="R9" s="4" t="s">
        <v>55</v>
      </c>
      <c r="S9" s="4">
        <v>0.0601369008541469</v>
      </c>
      <c r="T9" s="4">
        <v>0.101374175824177</v>
      </c>
      <c r="U9" s="4">
        <v>-203.964748351651</v>
      </c>
    </row>
    <row r="10" spans="1:21">
      <c r="A10" s="2" t="s">
        <v>12</v>
      </c>
      <c r="B10" s="3" t="s">
        <v>56</v>
      </c>
      <c r="C10" s="3">
        <v>205.96565029112</v>
      </c>
      <c r="D10" s="3">
        <v>1.00812824175827</v>
      </c>
      <c r="E10" s="3">
        <v>-1945.30689879126</v>
      </c>
      <c r="F10" s="3" t="s">
        <v>55</v>
      </c>
      <c r="G10" s="3">
        <v>332.461194656751</v>
      </c>
      <c r="H10" s="3">
        <v>3.72913681318682</v>
      </c>
      <c r="I10" s="3">
        <v>-7438.8269536264</v>
      </c>
      <c r="J10" s="3" t="s">
        <v>55</v>
      </c>
      <c r="K10" s="3">
        <v>0.564462996767627</v>
      </c>
      <c r="L10" s="3">
        <v>-0.155316043956043</v>
      </c>
      <c r="M10" s="3">
        <v>315.948095934065</v>
      </c>
      <c r="N10" s="3" t="s">
        <v>55</v>
      </c>
      <c r="O10" s="3">
        <v>31242.4154122421</v>
      </c>
      <c r="P10" s="3">
        <v>70.9021209890113</v>
      </c>
      <c r="Q10" s="3">
        <v>-142276.771828133</v>
      </c>
      <c r="R10" s="4" t="s">
        <v>55</v>
      </c>
      <c r="S10" s="4">
        <v>0.00888312751248714</v>
      </c>
      <c r="T10" s="4">
        <v>0.0921120879120885</v>
      </c>
      <c r="U10" s="4">
        <v>-185.228601098902</v>
      </c>
    </row>
    <row r="11" spans="1:21">
      <c r="A11" s="6" t="s">
        <v>13</v>
      </c>
      <c r="B11" s="3" t="s">
        <v>55</v>
      </c>
      <c r="C11" s="3">
        <v>695.756170623182</v>
      </c>
      <c r="D11" s="3">
        <v>39.9792946703299</v>
      </c>
      <c r="E11" s="3">
        <v>-80089.6469147257</v>
      </c>
      <c r="F11" s="3" t="s">
        <v>55</v>
      </c>
      <c r="G11" s="3">
        <v>4478.63576676094</v>
      </c>
      <c r="H11" s="3">
        <v>70.4032619230772</v>
      </c>
      <c r="I11" s="3">
        <v>-141250.45327077</v>
      </c>
      <c r="J11" s="3" t="s">
        <v>55</v>
      </c>
      <c r="K11" s="3">
        <v>0.77022056778981</v>
      </c>
      <c r="L11" s="3">
        <v>0.169250329670331</v>
      </c>
      <c r="M11" s="3">
        <v>-332.066149120881</v>
      </c>
      <c r="N11" s="3" t="s">
        <v>55</v>
      </c>
      <c r="O11" s="3">
        <v>312377.880426042</v>
      </c>
      <c r="P11" s="3">
        <v>291.247605329671</v>
      </c>
      <c r="Q11" s="3">
        <v>-578319.291326815</v>
      </c>
      <c r="R11" s="4" t="s">
        <v>55</v>
      </c>
      <c r="S11" s="4">
        <v>0.27891350604894</v>
      </c>
      <c r="T11" s="4">
        <v>0.690503846153851</v>
      </c>
      <c r="U11" s="4">
        <v>-1388.19106923078</v>
      </c>
    </row>
    <row r="12" spans="1:21">
      <c r="A12" s="6" t="s">
        <v>14</v>
      </c>
      <c r="B12" s="3" t="s">
        <v>55</v>
      </c>
      <c r="C12" s="3">
        <v>16570.498159429</v>
      </c>
      <c r="D12" s="3">
        <v>203.967716923078</v>
      </c>
      <c r="E12" s="3">
        <v>-409462.157470002</v>
      </c>
      <c r="F12" s="3" t="s">
        <v>55</v>
      </c>
      <c r="G12" s="3">
        <v>57328.6546334389</v>
      </c>
      <c r="H12" s="3">
        <v>245.251040054946</v>
      </c>
      <c r="I12" s="3">
        <v>-492279.527684728</v>
      </c>
      <c r="J12" s="3" t="s">
        <v>55</v>
      </c>
      <c r="K12" s="3">
        <v>14.4136024587113</v>
      </c>
      <c r="L12" s="3">
        <v>3.19524291208793</v>
      </c>
      <c r="M12" s="3">
        <v>-6395.99903505498</v>
      </c>
      <c r="N12" s="3" t="s">
        <v>55</v>
      </c>
      <c r="O12" s="3">
        <v>10394462.6956862</v>
      </c>
      <c r="P12" s="3">
        <v>2949.75959642859</v>
      </c>
      <c r="Q12" s="3">
        <v>-5919196.10232442</v>
      </c>
      <c r="R12" s="4" t="s">
        <v>55</v>
      </c>
      <c r="S12" s="4">
        <v>4.44779953222785</v>
      </c>
      <c r="T12" s="4">
        <v>2.79389450549452</v>
      </c>
      <c r="U12" s="4">
        <v>-5619.94161208795</v>
      </c>
    </row>
    <row r="13" spans="1:21">
      <c r="A13" s="6" t="s">
        <v>15</v>
      </c>
      <c r="B13" s="3" t="s">
        <v>55</v>
      </c>
      <c r="C13" s="3">
        <v>3467.6837913293</v>
      </c>
      <c r="D13" s="3">
        <v>117.572190000001</v>
      </c>
      <c r="E13" s="3">
        <v>-236042.371757693</v>
      </c>
      <c r="F13" s="3" t="s">
        <v>55</v>
      </c>
      <c r="G13" s="3">
        <v>82842.4817245345</v>
      </c>
      <c r="H13" s="3">
        <v>216.651482582419</v>
      </c>
      <c r="I13" s="3">
        <v>-435567.112681321</v>
      </c>
      <c r="J13" s="3" t="s">
        <v>55</v>
      </c>
      <c r="K13" s="3">
        <v>10.5870759172548</v>
      </c>
      <c r="L13" s="3">
        <v>3.47303093406595</v>
      </c>
      <c r="M13" s="3">
        <v>-6967.15589340664</v>
      </c>
      <c r="N13" s="3" t="s">
        <v>55</v>
      </c>
      <c r="O13" s="3">
        <v>6377047.76605779</v>
      </c>
      <c r="P13" s="3">
        <v>2756.28408857144</v>
      </c>
      <c r="Q13" s="3">
        <v>-5535601.32795178</v>
      </c>
      <c r="R13" s="4" t="s">
        <v>55</v>
      </c>
      <c r="S13" s="4">
        <v>4.67990046849137</v>
      </c>
      <c r="T13" s="4">
        <v>1.55425824175825</v>
      </c>
      <c r="U13" s="4">
        <v>-3128.15269340662</v>
      </c>
    </row>
    <row r="14" spans="1:21">
      <c r="A14" s="6" t="s">
        <v>16</v>
      </c>
      <c r="B14" s="3" t="s">
        <v>55</v>
      </c>
      <c r="C14" s="3">
        <v>1800.3381141667</v>
      </c>
      <c r="D14" s="3">
        <v>67.0893479670333</v>
      </c>
      <c r="E14" s="3">
        <v>-134842.463124396</v>
      </c>
      <c r="F14" s="3" t="s">
        <v>55</v>
      </c>
      <c r="G14" s="3">
        <v>7291.77838538365</v>
      </c>
      <c r="H14" s="3">
        <v>82.9956657142862</v>
      </c>
      <c r="I14" s="3">
        <v>-166821.806663737</v>
      </c>
      <c r="J14" s="3" t="s">
        <v>55</v>
      </c>
      <c r="K14" s="3">
        <v>1.86285195502856</v>
      </c>
      <c r="L14" s="3">
        <v>1.12704362637363</v>
      </c>
      <c r="M14" s="3">
        <v>-2261.40701186814</v>
      </c>
      <c r="N14" s="3" t="s">
        <v>55</v>
      </c>
      <c r="O14" s="3">
        <v>1625559.12349078</v>
      </c>
      <c r="P14" s="3">
        <v>1405.52003109891</v>
      </c>
      <c r="Q14" s="3">
        <v>-2825712.00121606</v>
      </c>
      <c r="R14" s="4" t="s">
        <v>55</v>
      </c>
      <c r="S14" s="4">
        <v>0.238035673661381</v>
      </c>
      <c r="T14" s="4">
        <v>0.869263186813192</v>
      </c>
      <c r="U14" s="4">
        <v>-1748.51619560441</v>
      </c>
    </row>
    <row r="15" spans="1:21">
      <c r="A15" s="6" t="s">
        <v>17</v>
      </c>
      <c r="B15" s="3" t="s">
        <v>55</v>
      </c>
      <c r="C15" s="3">
        <v>1556.48855955899</v>
      </c>
      <c r="D15" s="3">
        <v>64.9701841208794</v>
      </c>
      <c r="E15" s="3">
        <v>-130545.506689012</v>
      </c>
      <c r="F15" s="3" t="s">
        <v>55</v>
      </c>
      <c r="G15" s="3">
        <v>3544.33189969541</v>
      </c>
      <c r="H15" s="3">
        <v>70.2486968131872</v>
      </c>
      <c r="I15" s="3">
        <v>-141203.312874396</v>
      </c>
      <c r="J15" s="3" t="s">
        <v>55</v>
      </c>
      <c r="K15" s="3">
        <v>3.32821399298449</v>
      </c>
      <c r="L15" s="3">
        <v>1.10148450549451</v>
      </c>
      <c r="M15" s="3">
        <v>-2208.91729670331</v>
      </c>
      <c r="N15" s="3" t="s">
        <v>55</v>
      </c>
      <c r="O15" s="3">
        <v>238464.786351308</v>
      </c>
      <c r="P15" s="3">
        <v>464.68120324176</v>
      </c>
      <c r="Q15" s="3">
        <v>-932286.283745717</v>
      </c>
      <c r="R15" s="4" t="s">
        <v>55</v>
      </c>
      <c r="S15" s="4">
        <v>0.170464849505505</v>
      </c>
      <c r="T15" s="4">
        <v>0.573669780219784</v>
      </c>
      <c r="U15" s="4">
        <v>-1154.39785494506</v>
      </c>
    </row>
    <row r="16" spans="1:21">
      <c r="A16" s="6" t="s">
        <v>18</v>
      </c>
      <c r="B16" s="3" t="s">
        <v>55</v>
      </c>
      <c r="C16" s="3">
        <v>365.974298080936</v>
      </c>
      <c r="D16" s="3">
        <v>37.6533436263738</v>
      </c>
      <c r="E16" s="3">
        <v>-75703.2688557147</v>
      </c>
      <c r="F16" s="3" t="s">
        <v>55</v>
      </c>
      <c r="G16" s="3">
        <v>1256.72770501813</v>
      </c>
      <c r="H16" s="3">
        <v>59.6475381868135</v>
      </c>
      <c r="I16" s="3">
        <v>-119990.556682528</v>
      </c>
      <c r="J16" s="3" t="s">
        <v>55</v>
      </c>
      <c r="K16" s="3">
        <v>1.01136183575225</v>
      </c>
      <c r="L16" s="3">
        <v>0.938408351648357</v>
      </c>
      <c r="M16" s="3">
        <v>-1886.86686516485</v>
      </c>
      <c r="N16" s="3" t="s">
        <v>55</v>
      </c>
      <c r="O16" s="3">
        <v>1254560.71970013</v>
      </c>
      <c r="P16" s="3">
        <v>1094.75527285715</v>
      </c>
      <c r="Q16" s="3">
        <v>-2203146.00209188</v>
      </c>
      <c r="R16" s="4" t="s">
        <v>55</v>
      </c>
      <c r="S16" s="4">
        <v>0.030822589505491</v>
      </c>
      <c r="T16" s="4">
        <v>0.253408241758243</v>
      </c>
      <c r="U16" s="4">
        <v>-510.011747252751</v>
      </c>
    </row>
    <row r="17" spans="1:21">
      <c r="A17" s="6" t="s">
        <v>19</v>
      </c>
      <c r="B17" s="3" t="s">
        <v>55</v>
      </c>
      <c r="C17" s="3">
        <v>21546.148687548</v>
      </c>
      <c r="D17" s="3">
        <v>72.9321218681323</v>
      </c>
      <c r="E17" s="3">
        <v>-145748.561231429</v>
      </c>
      <c r="F17" s="3" t="s">
        <v>55</v>
      </c>
      <c r="G17" s="3">
        <v>97236.9210548138</v>
      </c>
      <c r="H17" s="3">
        <v>130.092440989012</v>
      </c>
      <c r="I17" s="3">
        <v>-261050.079664288</v>
      </c>
      <c r="J17" s="3" t="s">
        <v>55</v>
      </c>
      <c r="K17" s="3">
        <v>26.2803665670605</v>
      </c>
      <c r="L17" s="3">
        <v>1.89835214285715</v>
      </c>
      <c r="M17" s="3">
        <v>-3802.40619043958</v>
      </c>
      <c r="N17" s="3" t="s">
        <v>55</v>
      </c>
      <c r="O17" s="3">
        <v>48536043.6641966</v>
      </c>
      <c r="P17" s="3">
        <v>2475.19731054947</v>
      </c>
      <c r="Q17" s="3">
        <v>-4972762.91797652</v>
      </c>
      <c r="R17" s="4" t="s">
        <v>55</v>
      </c>
      <c r="S17" s="4">
        <v>2.43772124583441</v>
      </c>
      <c r="T17" s="4">
        <v>1.31402637362638</v>
      </c>
      <c r="U17" s="4">
        <v>-2644.1889835165</v>
      </c>
    </row>
    <row r="18" spans="1:21">
      <c r="A18" s="6" t="s">
        <v>20</v>
      </c>
      <c r="B18" s="3" t="s">
        <v>55</v>
      </c>
      <c r="C18" s="3">
        <v>1012.00080871897</v>
      </c>
      <c r="D18" s="3">
        <v>61.4185592307695</v>
      </c>
      <c r="E18" s="3">
        <v>-123371.544887693</v>
      </c>
      <c r="F18" s="3" t="s">
        <v>55</v>
      </c>
      <c r="G18" s="3">
        <v>873.864057329342</v>
      </c>
      <c r="H18" s="3">
        <v>41.8206950549452</v>
      </c>
      <c r="I18" s="3">
        <v>-83938.4981901103</v>
      </c>
      <c r="J18" s="3" t="s">
        <v>55</v>
      </c>
      <c r="K18" s="3">
        <v>1.45092906531704</v>
      </c>
      <c r="L18" s="3">
        <v>0.650840164835167</v>
      </c>
      <c r="M18" s="3">
        <v>-1298.8861534066</v>
      </c>
      <c r="N18" s="3" t="s">
        <v>55</v>
      </c>
      <c r="O18" s="3">
        <v>494263.931648441</v>
      </c>
      <c r="P18" s="3">
        <v>563.142861483517</v>
      </c>
      <c r="Q18" s="3">
        <v>-1129275.92103374</v>
      </c>
      <c r="R18" s="4" t="s">
        <v>55</v>
      </c>
      <c r="S18" s="4">
        <v>0.313976724455535</v>
      </c>
      <c r="T18" s="4">
        <v>0.505821978021982</v>
      </c>
      <c r="U18" s="4">
        <v>-1017.91036703297</v>
      </c>
    </row>
    <row r="19" spans="1:21">
      <c r="A19" s="6" t="s">
        <v>21</v>
      </c>
      <c r="B19" s="3" t="s">
        <v>55</v>
      </c>
      <c r="C19" s="3">
        <v>1797.18799800263</v>
      </c>
      <c r="D19" s="3">
        <v>56.7484659890113</v>
      </c>
      <c r="E19" s="3">
        <v>-113951.15830044</v>
      </c>
      <c r="F19" s="3" t="s">
        <v>55</v>
      </c>
      <c r="G19" s="3">
        <v>6929.68574234611</v>
      </c>
      <c r="H19" s="3">
        <v>80.6861083516488</v>
      </c>
      <c r="I19" s="3">
        <v>-162168.957265935</v>
      </c>
      <c r="J19" s="3" t="s">
        <v>55</v>
      </c>
      <c r="K19" s="3">
        <v>2.34889428356469</v>
      </c>
      <c r="L19" s="3">
        <v>1.01319675824176</v>
      </c>
      <c r="M19" s="3">
        <v>-2032.4355235165</v>
      </c>
      <c r="N19" s="3" t="s">
        <v>55</v>
      </c>
      <c r="O19" s="3">
        <v>938485.874386857</v>
      </c>
      <c r="P19" s="3">
        <v>1098.6725</v>
      </c>
      <c r="Q19" s="3">
        <v>-2207745.74413539</v>
      </c>
      <c r="R19" s="4" t="s">
        <v>55</v>
      </c>
      <c r="S19" s="4">
        <v>1.22956895142867</v>
      </c>
      <c r="T19" s="4">
        <v>0.852918681318688</v>
      </c>
      <c r="U19" s="4">
        <v>-1716.8199912088</v>
      </c>
    </row>
    <row r="20" spans="1:21">
      <c r="A20" s="6" t="s">
        <v>22</v>
      </c>
      <c r="B20" s="3" t="s">
        <v>55</v>
      </c>
      <c r="C20" s="3">
        <v>1601.37967830752</v>
      </c>
      <c r="D20" s="3">
        <v>66.4842687912091</v>
      </c>
      <c r="E20" s="3">
        <v>-133599.160738352</v>
      </c>
      <c r="F20" s="3" t="s">
        <v>55</v>
      </c>
      <c r="G20" s="3">
        <v>6647.76974342241</v>
      </c>
      <c r="H20" s="3">
        <v>86.8879463186818</v>
      </c>
      <c r="I20" s="3">
        <v>-174699.358339561</v>
      </c>
      <c r="J20" s="3" t="s">
        <v>55</v>
      </c>
      <c r="K20" s="3">
        <v>3.37119139486392</v>
      </c>
      <c r="L20" s="3">
        <v>1.18803983516484</v>
      </c>
      <c r="M20" s="3">
        <v>-2385.52207120881</v>
      </c>
      <c r="N20" s="3" t="s">
        <v>55</v>
      </c>
      <c r="O20" s="3">
        <v>2819865.16259322</v>
      </c>
      <c r="P20" s="3">
        <v>952.175255164841</v>
      </c>
      <c r="Q20" s="3">
        <v>-1911911.55555803</v>
      </c>
      <c r="R20" s="4" t="s">
        <v>55</v>
      </c>
      <c r="S20" s="4">
        <v>0.126634539000989</v>
      </c>
      <c r="T20" s="4">
        <v>0.519306593406596</v>
      </c>
      <c r="U20" s="4">
        <v>-1044.47252087913</v>
      </c>
    </row>
    <row r="21" spans="1:21">
      <c r="A21" s="6" t="s">
        <v>23</v>
      </c>
      <c r="B21" s="3" t="s">
        <v>55</v>
      </c>
      <c r="C21" s="3">
        <v>16680.1318865828</v>
      </c>
      <c r="D21" s="3">
        <v>221.550559175825</v>
      </c>
      <c r="E21" s="3">
        <v>-444863.924809123</v>
      </c>
      <c r="F21" s="3" t="s">
        <v>55</v>
      </c>
      <c r="G21" s="3">
        <v>42953.0837826909</v>
      </c>
      <c r="H21" s="3">
        <v>437.518060714288</v>
      </c>
      <c r="I21" s="3">
        <v>-879497.858273741</v>
      </c>
      <c r="J21" s="3" t="s">
        <v>55</v>
      </c>
      <c r="K21" s="3">
        <v>38.0955119977674</v>
      </c>
      <c r="L21" s="3">
        <v>4.49872703296706</v>
      </c>
      <c r="M21" s="3">
        <v>-9018.36876483522</v>
      </c>
      <c r="N21" s="3" t="s">
        <v>55</v>
      </c>
      <c r="O21" s="3">
        <v>5520052.01535486</v>
      </c>
      <c r="P21" s="3">
        <v>3517.25114956045</v>
      </c>
      <c r="Q21" s="3">
        <v>-7061544.94204377</v>
      </c>
      <c r="R21" s="4" t="s">
        <v>55</v>
      </c>
      <c r="S21" s="4">
        <v>9.39547864616883</v>
      </c>
      <c r="T21" s="4">
        <v>5.49337197802201</v>
      </c>
      <c r="U21" s="4">
        <v>-11050.00939011</v>
      </c>
    </row>
    <row r="22" spans="1:21">
      <c r="A22" s="6" t="s">
        <v>24</v>
      </c>
      <c r="B22" s="3" t="s">
        <v>55</v>
      </c>
      <c r="C22" s="3">
        <v>135.283219175405</v>
      </c>
      <c r="D22" s="3">
        <v>8.08061532967038</v>
      </c>
      <c r="E22" s="3">
        <v>-16198.3751229671</v>
      </c>
      <c r="F22" s="3" t="s">
        <v>55</v>
      </c>
      <c r="G22" s="3">
        <v>530.591637746998</v>
      </c>
      <c r="H22" s="3">
        <v>17.3218862087913</v>
      </c>
      <c r="I22" s="3">
        <v>-34806.2664870332</v>
      </c>
      <c r="J22" s="3" t="s">
        <v>55</v>
      </c>
      <c r="K22" s="3">
        <v>0.358788586008389</v>
      </c>
      <c r="L22" s="3">
        <v>0.164964615384617</v>
      </c>
      <c r="M22" s="3">
        <v>-330.418362307695</v>
      </c>
      <c r="N22" s="3" t="s">
        <v>55</v>
      </c>
      <c r="O22" s="3">
        <v>126405.429970331</v>
      </c>
      <c r="P22" s="3">
        <v>194.52193302198</v>
      </c>
      <c r="Q22" s="3">
        <v>-390292.062950663</v>
      </c>
      <c r="R22" s="4" t="s">
        <v>55</v>
      </c>
      <c r="S22" s="4">
        <v>0.0210195750599404</v>
      </c>
      <c r="T22" s="4">
        <v>0.136136813186814</v>
      </c>
      <c r="U22" s="4">
        <v>-273.899542857144</v>
      </c>
    </row>
    <row r="23" spans="1:21">
      <c r="A23" s="6" t="s">
        <v>25</v>
      </c>
      <c r="B23" s="3" t="s">
        <v>55</v>
      </c>
      <c r="C23" s="3">
        <v>5.68294768483044</v>
      </c>
      <c r="D23" s="3">
        <v>0.892342637362641</v>
      </c>
      <c r="E23" s="3">
        <v>-1788.60045219781</v>
      </c>
      <c r="F23" s="3" t="s">
        <v>55</v>
      </c>
      <c r="G23" s="3">
        <v>53.3370391403718</v>
      </c>
      <c r="H23" s="3">
        <v>3.30357406593409</v>
      </c>
      <c r="I23" s="3">
        <v>-6644.71860582422</v>
      </c>
      <c r="J23" s="3" t="s">
        <v>56</v>
      </c>
      <c r="K23" s="3">
        <v>0.011909486186963</v>
      </c>
      <c r="L23" s="3">
        <v>0.0145736813186814</v>
      </c>
      <c r="M23" s="3">
        <v>-29.0984435164837</v>
      </c>
      <c r="N23" s="3" t="s">
        <v>55</v>
      </c>
      <c r="O23" s="3">
        <v>4809.52540977336</v>
      </c>
      <c r="P23" s="3">
        <v>17.4902903296704</v>
      </c>
      <c r="Q23" s="3">
        <v>-35108.3004860442</v>
      </c>
      <c r="R23" s="4" t="s">
        <v>55</v>
      </c>
      <c r="S23" s="4">
        <v>0.000905353966034028</v>
      </c>
      <c r="T23" s="4">
        <v>0.0211373626373627</v>
      </c>
      <c r="U23" s="4">
        <v>-42.4777285714288</v>
      </c>
    </row>
    <row r="24" spans="1:21">
      <c r="A24" s="6" t="s">
        <v>26</v>
      </c>
      <c r="B24" s="3" t="s">
        <v>55</v>
      </c>
      <c r="C24" s="3">
        <v>144.835130708566</v>
      </c>
      <c r="D24" s="3">
        <v>35.6463747802199</v>
      </c>
      <c r="E24" s="3">
        <v>-71621.0693241762</v>
      </c>
      <c r="F24" s="3" t="s">
        <v>55</v>
      </c>
      <c r="G24" s="3">
        <v>799.142281058934</v>
      </c>
      <c r="H24" s="3">
        <v>38.6971914285716</v>
      </c>
      <c r="I24" s="3">
        <v>-77743.1832159344</v>
      </c>
      <c r="J24" s="3" t="s">
        <v>55</v>
      </c>
      <c r="K24" s="3">
        <v>0.0880159287636373</v>
      </c>
      <c r="L24" s="3">
        <v>0.517864615384617</v>
      </c>
      <c r="M24" s="3">
        <v>-1038.88274076923</v>
      </c>
      <c r="N24" s="3" t="s">
        <v>55</v>
      </c>
      <c r="O24" s="3">
        <v>433846.596150039</v>
      </c>
      <c r="P24" s="3">
        <v>451.360641318684</v>
      </c>
      <c r="Q24" s="3">
        <v>-905614.071546488</v>
      </c>
      <c r="R24" s="4" t="s">
        <v>55</v>
      </c>
      <c r="S24" s="4">
        <v>0.0317105984615387</v>
      </c>
      <c r="T24" s="4">
        <v>0.26416153846154</v>
      </c>
      <c r="U24" s="4">
        <v>-531.422238461541</v>
      </c>
    </row>
    <row r="25" spans="1:21">
      <c r="A25" s="6" t="s">
        <v>27</v>
      </c>
      <c r="B25" s="3" t="s">
        <v>55</v>
      </c>
      <c r="C25" s="3">
        <v>355.591044859102</v>
      </c>
      <c r="D25" s="3">
        <v>41.4451841758244</v>
      </c>
      <c r="E25" s="3">
        <v>-83277.0956637367</v>
      </c>
      <c r="F25" s="3" t="s">
        <v>55</v>
      </c>
      <c r="G25" s="3">
        <v>2045.84700695685</v>
      </c>
      <c r="H25" s="3">
        <v>46.4582609340662</v>
      </c>
      <c r="I25" s="3">
        <v>-93351.6375334071</v>
      </c>
      <c r="J25" s="3" t="s">
        <v>55</v>
      </c>
      <c r="K25" s="3">
        <v>0.935128161662516</v>
      </c>
      <c r="L25" s="3">
        <v>0.711761373626378</v>
      </c>
      <c r="M25" s="3">
        <v>-1427.96371967034</v>
      </c>
      <c r="N25" s="3" t="s">
        <v>55</v>
      </c>
      <c r="O25" s="3">
        <v>220901.582903849</v>
      </c>
      <c r="P25" s="3">
        <v>431.244212087914</v>
      </c>
      <c r="Q25" s="3">
        <v>-865959.593070334</v>
      </c>
      <c r="R25" s="4" t="s">
        <v>55</v>
      </c>
      <c r="S25" s="4">
        <v>0.14423647384613</v>
      </c>
      <c r="T25" s="4">
        <v>0.551776923076926</v>
      </c>
      <c r="U25" s="4">
        <v>-1109.86012307693</v>
      </c>
    </row>
    <row r="26" spans="1:21">
      <c r="A26" s="6" t="s">
        <v>28</v>
      </c>
      <c r="B26" s="3" t="s">
        <v>55</v>
      </c>
      <c r="C26" s="3">
        <v>49.3780849076106</v>
      </c>
      <c r="D26" s="3">
        <v>9.8162845604396</v>
      </c>
      <c r="E26" s="3">
        <v>-19727.8594883517</v>
      </c>
      <c r="F26" s="3" t="s">
        <v>55</v>
      </c>
      <c r="G26" s="3">
        <v>130.970610037794</v>
      </c>
      <c r="H26" s="3">
        <v>6.996491978022</v>
      </c>
      <c r="I26" s="3">
        <v>-14045.8630924176</v>
      </c>
      <c r="J26" s="3" t="s">
        <v>55</v>
      </c>
      <c r="K26" s="3">
        <v>0.0248742932627339</v>
      </c>
      <c r="L26" s="3">
        <v>0.152469890109891</v>
      </c>
      <c r="M26" s="3">
        <v>-305.56169901099</v>
      </c>
      <c r="N26" s="3" t="s">
        <v>55</v>
      </c>
      <c r="O26" s="3">
        <v>11952.564221562</v>
      </c>
      <c r="P26" s="3">
        <v>90.7191907692313</v>
      </c>
      <c r="Q26" s="3">
        <v>-182294.326175386</v>
      </c>
      <c r="R26" s="4" t="s">
        <v>55</v>
      </c>
      <c r="S26" s="4">
        <v>0.0103508593156834</v>
      </c>
      <c r="T26" s="4">
        <v>0.0845818681318686</v>
      </c>
      <c r="U26" s="4">
        <v>-170.019163736265</v>
      </c>
    </row>
    <row r="27" spans="1:21">
      <c r="A27" s="6" t="s">
        <v>29</v>
      </c>
      <c r="B27" s="3" t="s">
        <v>55</v>
      </c>
      <c r="C27" s="3">
        <v>132.104913213008</v>
      </c>
      <c r="D27" s="3">
        <v>16.9569727472528</v>
      </c>
      <c r="E27" s="3">
        <v>-34099.3850278024</v>
      </c>
      <c r="F27" s="3" t="s">
        <v>55</v>
      </c>
      <c r="G27" s="3">
        <v>98.7798030650472</v>
      </c>
      <c r="H27" s="3">
        <v>12.559573956044</v>
      </c>
      <c r="I27" s="3">
        <v>-25236.5649686815</v>
      </c>
      <c r="J27" s="3" t="s">
        <v>55</v>
      </c>
      <c r="K27" s="3">
        <v>0.0517760032924546</v>
      </c>
      <c r="L27" s="3">
        <v>0.218375879120881</v>
      </c>
      <c r="M27" s="3">
        <v>-438.343470219783</v>
      </c>
      <c r="N27" s="3" t="s">
        <v>55</v>
      </c>
      <c r="O27" s="3">
        <v>76867.7024457177</v>
      </c>
      <c r="P27" s="3">
        <v>161.508699010991</v>
      </c>
      <c r="Q27" s="3">
        <v>-324843.246865717</v>
      </c>
      <c r="R27" s="4" t="s">
        <v>55</v>
      </c>
      <c r="S27" s="4">
        <v>0.00796607550449498</v>
      </c>
      <c r="T27" s="4">
        <v>0.123514285714286</v>
      </c>
      <c r="U27" s="4">
        <v>-248.437459340661</v>
      </c>
    </row>
    <row r="28" spans="1:21">
      <c r="A28" s="7" t="s">
        <v>30</v>
      </c>
      <c r="B28" s="3" t="s">
        <v>55</v>
      </c>
      <c r="C28" s="3">
        <v>0.236766040701898</v>
      </c>
      <c r="D28" s="3">
        <v>0.117962967032967</v>
      </c>
      <c r="E28" s="3">
        <v>-237.188032087911</v>
      </c>
      <c r="F28" s="3" t="s">
        <v>55</v>
      </c>
      <c r="G28" s="3">
        <v>0.10456819465555</v>
      </c>
      <c r="H28" s="3">
        <v>0.140701208791209</v>
      </c>
      <c r="I28" s="3">
        <v>-283.170986263737</v>
      </c>
      <c r="J28" s="3" t="s">
        <v>55</v>
      </c>
      <c r="K28" s="3">
        <v>4.22695688311684e-5</v>
      </c>
      <c r="L28" s="3">
        <v>0.00170736263736264</v>
      </c>
      <c r="M28" s="3">
        <v>-3.42608241758242</v>
      </c>
      <c r="N28" s="3" t="s">
        <v>56</v>
      </c>
      <c r="O28" s="3">
        <v>38.0803889965665</v>
      </c>
      <c r="P28" s="3">
        <v>0.813823956043958</v>
      </c>
      <c r="Q28" s="3">
        <v>-1633.78353021978</v>
      </c>
      <c r="R28" s="4" t="s">
        <v>55</v>
      </c>
      <c r="S28" s="4">
        <v>1.37360439560447e-5</v>
      </c>
      <c r="T28" s="4">
        <v>0.0022879120879121</v>
      </c>
      <c r="U28" s="4">
        <v>-4.60188351648355</v>
      </c>
    </row>
    <row r="29" spans="1:21">
      <c r="A29" s="6" t="s">
        <v>31</v>
      </c>
      <c r="B29" s="3" t="s">
        <v>55</v>
      </c>
      <c r="C29" s="3">
        <v>382.819483772641</v>
      </c>
      <c r="D29" s="3">
        <v>23.796068846154</v>
      </c>
      <c r="E29" s="3">
        <v>-47777.7055423079</v>
      </c>
      <c r="F29" s="3" t="s">
        <v>55</v>
      </c>
      <c r="G29" s="3">
        <v>1034.26884208716</v>
      </c>
      <c r="H29" s="3">
        <v>25.1647132417584</v>
      </c>
      <c r="I29" s="3">
        <v>-50521.4402326377</v>
      </c>
      <c r="J29" s="3" t="s">
        <v>55</v>
      </c>
      <c r="K29" s="3">
        <v>0.688416280114292</v>
      </c>
      <c r="L29" s="3">
        <v>0.245110329670332</v>
      </c>
      <c r="M29" s="3">
        <v>-489.540762197806</v>
      </c>
      <c r="N29" s="3" t="s">
        <v>55</v>
      </c>
      <c r="O29" s="3">
        <v>241935.390908785</v>
      </c>
      <c r="P29" s="3">
        <v>278.686583736264</v>
      </c>
      <c r="Q29" s="3">
        <v>-560167.466843627</v>
      </c>
      <c r="R29" s="4" t="s">
        <v>55</v>
      </c>
      <c r="S29" s="4">
        <v>0.0629528960389645</v>
      </c>
      <c r="T29" s="4">
        <v>0.248506043956046</v>
      </c>
      <c r="U29" s="4">
        <v>-499.773119780223</v>
      </c>
    </row>
    <row r="30" spans="1:21">
      <c r="A30" s="2" t="s">
        <v>32</v>
      </c>
      <c r="B30" s="3" t="s">
        <v>55</v>
      </c>
      <c r="C30" s="3">
        <v>38.0018683027881</v>
      </c>
      <c r="D30" s="3">
        <v>3.58284016483518</v>
      </c>
      <c r="E30" s="3">
        <v>-7175.08879956047</v>
      </c>
      <c r="F30" s="3" t="s">
        <v>55</v>
      </c>
      <c r="G30" s="3">
        <v>72.6132457448586</v>
      </c>
      <c r="H30" s="3">
        <v>3.01510384615386</v>
      </c>
      <c r="I30" s="3">
        <v>-6034.94813307695</v>
      </c>
      <c r="J30" s="3" t="s">
        <v>56</v>
      </c>
      <c r="K30" s="3">
        <v>0.108648852921827</v>
      </c>
      <c r="L30" s="3">
        <v>0.0361056593406597</v>
      </c>
      <c r="M30" s="3">
        <v>-71.6073920879128</v>
      </c>
      <c r="N30" s="3" t="s">
        <v>55</v>
      </c>
      <c r="O30" s="3">
        <v>111272.994039084</v>
      </c>
      <c r="P30" s="3">
        <v>74.7895198901107</v>
      </c>
      <c r="Q30" s="3">
        <v>-150189.163557474</v>
      </c>
      <c r="R30" s="4" t="s">
        <v>55</v>
      </c>
      <c r="S30" s="4">
        <v>0.00489232952547466</v>
      </c>
      <c r="T30" s="4">
        <v>0.0585796703296708</v>
      </c>
      <c r="U30" s="4">
        <v>-117.852474725276</v>
      </c>
    </row>
    <row r="31" spans="1:21">
      <c r="A31" s="2" t="s">
        <v>33</v>
      </c>
      <c r="B31" s="3" t="s">
        <v>55</v>
      </c>
      <c r="C31" s="3">
        <v>4.01002850146464</v>
      </c>
      <c r="D31" s="3">
        <v>0.688574230769235</v>
      </c>
      <c r="E31" s="3">
        <v>-1379.13143923078</v>
      </c>
      <c r="F31" s="3" t="s">
        <v>55</v>
      </c>
      <c r="G31" s="3">
        <v>9.6088547625313</v>
      </c>
      <c r="H31" s="3">
        <v>1.23070648351649</v>
      </c>
      <c r="I31" s="3">
        <v>-2471.1144645055</v>
      </c>
      <c r="J31" s="3" t="s">
        <v>56</v>
      </c>
      <c r="K31" s="3">
        <v>0.00133826552062937</v>
      </c>
      <c r="L31" s="3">
        <v>0.000798846153846221</v>
      </c>
      <c r="M31" s="3">
        <v>-1.42899000000013</v>
      </c>
      <c r="N31" s="3" t="s">
        <v>55</v>
      </c>
      <c r="O31" s="3">
        <v>5516.77966389487</v>
      </c>
      <c r="P31" s="3">
        <v>20.3734486263736</v>
      </c>
      <c r="Q31" s="3">
        <v>-40998.892718022</v>
      </c>
      <c r="R31" s="4" t="s">
        <v>55</v>
      </c>
      <c r="S31" s="4">
        <v>0.000394375959040958</v>
      </c>
      <c r="T31" s="4">
        <v>0.0143642857142858</v>
      </c>
      <c r="U31" s="4">
        <v>-28.908697802198</v>
      </c>
    </row>
    <row r="32" spans="1:21">
      <c r="A32" s="6" t="s">
        <v>34</v>
      </c>
      <c r="B32" s="3" t="s">
        <v>55</v>
      </c>
      <c r="C32" s="3">
        <v>11.5111831588687</v>
      </c>
      <c r="D32" s="3">
        <v>4.9286835714286</v>
      </c>
      <c r="E32" s="3">
        <v>-9908.02099406599</v>
      </c>
      <c r="F32" s="3" t="s">
        <v>55</v>
      </c>
      <c r="G32" s="3">
        <v>144.101775326076</v>
      </c>
      <c r="H32" s="3">
        <v>6.62703554945059</v>
      </c>
      <c r="I32" s="3">
        <v>-13334.4452341759</v>
      </c>
      <c r="J32" s="3" t="s">
        <v>55</v>
      </c>
      <c r="K32" s="3">
        <v>0.0165896887446553</v>
      </c>
      <c r="L32" s="3">
        <v>0.0831543956043961</v>
      </c>
      <c r="M32" s="3">
        <v>-166.991946483518</v>
      </c>
      <c r="N32" s="3" t="s">
        <v>55</v>
      </c>
      <c r="O32" s="3">
        <v>12393.3257488934</v>
      </c>
      <c r="P32" s="3">
        <v>55.8580686813189</v>
      </c>
      <c r="Q32" s="3">
        <v>-112270.954821978</v>
      </c>
      <c r="R32" s="4" t="s">
        <v>55</v>
      </c>
      <c r="S32" s="4">
        <v>0.00222893316183816</v>
      </c>
      <c r="T32" s="4">
        <v>0.0473664835164839</v>
      </c>
      <c r="U32" s="4">
        <v>-95.3368560439568</v>
      </c>
    </row>
    <row r="33" spans="1:21">
      <c r="A33" s="6" t="s">
        <v>35</v>
      </c>
      <c r="B33" s="3" t="s">
        <v>55</v>
      </c>
      <c r="C33" s="3">
        <v>87.3650195666056</v>
      </c>
      <c r="D33" s="3">
        <v>4.41653148351651</v>
      </c>
      <c r="E33" s="3">
        <v>-8864.14182758248</v>
      </c>
      <c r="F33" s="3" t="s">
        <v>55</v>
      </c>
      <c r="G33" s="3">
        <v>1003.45971728882</v>
      </c>
      <c r="H33" s="3">
        <v>10.991930879121</v>
      </c>
      <c r="I33" s="3">
        <v>-22112.6356986815</v>
      </c>
      <c r="J33" s="3" t="s">
        <v>55</v>
      </c>
      <c r="K33" s="3">
        <v>0.0964865930590896</v>
      </c>
      <c r="L33" s="3">
        <v>0.0685734615384624</v>
      </c>
      <c r="M33" s="3">
        <v>-137.554203076925</v>
      </c>
      <c r="N33" s="3" t="s">
        <v>55</v>
      </c>
      <c r="O33" s="3">
        <v>5422.80680317716</v>
      </c>
      <c r="P33" s="3">
        <v>38.5849332967034</v>
      </c>
      <c r="Q33" s="3">
        <v>-77326.5886865936</v>
      </c>
      <c r="R33" s="4" t="s">
        <v>55</v>
      </c>
      <c r="S33" s="4">
        <v>0.017528640834165</v>
      </c>
      <c r="T33" s="4">
        <v>0.0776620879120885</v>
      </c>
      <c r="U33" s="4">
        <v>-156.329154945056</v>
      </c>
    </row>
    <row r="34" spans="1:21">
      <c r="F34" t="s">
        <v>56</v>
      </c>
      <c r="J34" t="s">
        <v>56</v>
      </c>
      <c r="N34" t="s">
        <v>56</v>
      </c>
      <c r="R34" t="s">
        <v>56</v>
      </c>
      <c r="S34" s="8"/>
      <c r="T34" s="8"/>
      <c r="U34" s="8"/>
    </row>
    <row r="35" spans="1:21">
      <c r="F35" t="str">
        <f t="shared" ref="F35:F65" si="0">IF(F4&lt;=0.05,"&lt;0.05","&gt;0.05")</f>
        <v>&gt;0.05</v>
      </c>
      <c r="J35" t="str">
        <f t="shared" ref="J35:J65" si="1">IF(J4&lt;=0.05,"&lt;0.05","&gt;0.05")</f>
        <v>&gt;0.05</v>
      </c>
      <c r="N35" t="str">
        <f t="shared" ref="N35:N65" si="2">IF(N4&lt;=0.05,"&lt;0.05","&gt;0.05")</f>
        <v>&gt;0.05</v>
      </c>
      <c r="R35" t="str">
        <f t="shared" ref="R35:R65" si="3">IF(R4&lt;=0.05,"&lt;0.05","&gt;0.05")</f>
        <v>&gt;0.05</v>
      </c>
    </row>
    <row r="36" spans="1:21">
      <c r="F36" t="str">
        <f t="shared" si="0"/>
        <v>&gt;0.05</v>
      </c>
      <c r="J36" t="str">
        <f t="shared" si="1"/>
        <v>&gt;0.05</v>
      </c>
      <c r="N36" t="str">
        <f t="shared" si="2"/>
        <v>&gt;0.05</v>
      </c>
      <c r="R36" t="str">
        <f t="shared" si="3"/>
        <v>&gt;0.05</v>
      </c>
    </row>
    <row r="37" spans="1:21">
      <c r="F37" t="str">
        <f t="shared" si="0"/>
        <v>&gt;0.05</v>
      </c>
      <c r="J37" t="str">
        <f t="shared" si="1"/>
        <v>&gt;0.05</v>
      </c>
      <c r="N37" t="str">
        <f t="shared" si="2"/>
        <v>&gt;0.05</v>
      </c>
      <c r="R37" t="str">
        <f t="shared" si="3"/>
        <v>&gt;0.05</v>
      </c>
    </row>
    <row r="38" spans="1:21">
      <c r="F38" t="str">
        <f t="shared" si="0"/>
        <v>&gt;0.05</v>
      </c>
      <c r="J38" t="str">
        <f t="shared" si="1"/>
        <v>&gt;0.05</v>
      </c>
      <c r="N38" t="str">
        <f t="shared" si="2"/>
        <v>&gt;0.05</v>
      </c>
      <c r="R38" t="str">
        <f t="shared" si="3"/>
        <v>&gt;0.05</v>
      </c>
    </row>
    <row r="39" spans="1:21">
      <c r="F39" t="str">
        <f t="shared" si="0"/>
        <v>&gt;0.05</v>
      </c>
      <c r="J39" t="str">
        <f t="shared" si="1"/>
        <v>&gt;0.05</v>
      </c>
      <c r="N39" t="str">
        <f t="shared" si="2"/>
        <v>&gt;0.05</v>
      </c>
      <c r="R39" t="str">
        <f t="shared" si="3"/>
        <v>&gt;0.05</v>
      </c>
    </row>
    <row r="40" spans="1:21">
      <c r="F40" t="str">
        <f t="shared" si="0"/>
        <v>&gt;0.05</v>
      </c>
      <c r="J40" t="str">
        <f t="shared" si="1"/>
        <v>&gt;0.05</v>
      </c>
      <c r="N40" t="str">
        <f t="shared" si="2"/>
        <v>&gt;0.05</v>
      </c>
      <c r="R40" t="str">
        <f t="shared" si="3"/>
        <v>&gt;0.05</v>
      </c>
    </row>
    <row r="41" spans="1:21">
      <c r="F41" t="str">
        <f t="shared" si="0"/>
        <v>&gt;0.05</v>
      </c>
      <c r="J41" t="str">
        <f t="shared" si="1"/>
        <v>&gt;0.05</v>
      </c>
      <c r="N41" t="str">
        <f t="shared" si="2"/>
        <v>&gt;0.05</v>
      </c>
      <c r="R41" t="str">
        <f t="shared" si="3"/>
        <v>&gt;0.05</v>
      </c>
    </row>
    <row r="42" spans="1:21">
      <c r="F42" t="str">
        <f t="shared" si="0"/>
        <v>&gt;0.05</v>
      </c>
      <c r="J42" t="str">
        <f t="shared" si="1"/>
        <v>&gt;0.05</v>
      </c>
      <c r="N42" t="str">
        <f t="shared" si="2"/>
        <v>&gt;0.05</v>
      </c>
      <c r="R42" t="str">
        <f t="shared" si="3"/>
        <v>&gt;0.05</v>
      </c>
    </row>
    <row r="43" spans="1:21">
      <c r="F43" t="str">
        <f t="shared" si="0"/>
        <v>&gt;0.05</v>
      </c>
      <c r="J43" t="str">
        <f t="shared" si="1"/>
        <v>&gt;0.05</v>
      </c>
      <c r="N43" t="str">
        <f t="shared" si="2"/>
        <v>&gt;0.05</v>
      </c>
      <c r="R43" t="str">
        <f t="shared" si="3"/>
        <v>&gt;0.05</v>
      </c>
    </row>
    <row r="44" spans="1:21">
      <c r="F44" t="str">
        <f t="shared" si="0"/>
        <v>&gt;0.05</v>
      </c>
      <c r="J44" t="str">
        <f t="shared" si="1"/>
        <v>&gt;0.05</v>
      </c>
      <c r="N44" t="str">
        <f t="shared" si="2"/>
        <v>&gt;0.05</v>
      </c>
      <c r="R44" t="str">
        <f t="shared" si="3"/>
        <v>&gt;0.05</v>
      </c>
    </row>
    <row r="45" spans="1:21">
      <c r="F45" t="str">
        <f t="shared" si="0"/>
        <v>&gt;0.05</v>
      </c>
      <c r="J45" t="str">
        <f t="shared" si="1"/>
        <v>&gt;0.05</v>
      </c>
      <c r="N45" t="str">
        <f t="shared" si="2"/>
        <v>&gt;0.05</v>
      </c>
      <c r="R45" t="str">
        <f t="shared" si="3"/>
        <v>&gt;0.05</v>
      </c>
    </row>
    <row r="46" spans="1:21">
      <c r="F46" t="str">
        <f t="shared" si="0"/>
        <v>&gt;0.05</v>
      </c>
      <c r="J46" t="str">
        <f t="shared" si="1"/>
        <v>&gt;0.05</v>
      </c>
      <c r="N46" t="str">
        <f t="shared" si="2"/>
        <v>&gt;0.05</v>
      </c>
      <c r="R46" t="str">
        <f t="shared" si="3"/>
        <v>&gt;0.05</v>
      </c>
    </row>
    <row r="47" spans="1:21">
      <c r="F47" t="str">
        <f t="shared" si="0"/>
        <v>&gt;0.05</v>
      </c>
      <c r="J47" t="str">
        <f t="shared" si="1"/>
        <v>&gt;0.05</v>
      </c>
      <c r="N47" t="str">
        <f t="shared" si="2"/>
        <v>&gt;0.05</v>
      </c>
      <c r="R47" t="str">
        <f t="shared" si="3"/>
        <v>&gt;0.05</v>
      </c>
    </row>
    <row r="48" spans="1:21">
      <c r="F48" t="str">
        <f t="shared" si="0"/>
        <v>&gt;0.05</v>
      </c>
      <c r="J48" t="str">
        <f t="shared" si="1"/>
        <v>&gt;0.05</v>
      </c>
      <c r="N48" t="str">
        <f t="shared" si="2"/>
        <v>&gt;0.05</v>
      </c>
      <c r="R48" t="str">
        <f t="shared" si="3"/>
        <v>&gt;0.05</v>
      </c>
    </row>
    <row r="49" spans="6:18">
      <c r="F49" t="str">
        <f t="shared" si="0"/>
        <v>&gt;0.05</v>
      </c>
      <c r="J49" t="str">
        <f t="shared" si="1"/>
        <v>&gt;0.05</v>
      </c>
      <c r="N49" t="str">
        <f t="shared" si="2"/>
        <v>&gt;0.05</v>
      </c>
      <c r="R49" t="str">
        <f t="shared" si="3"/>
        <v>&gt;0.05</v>
      </c>
    </row>
    <row r="50" spans="6:18">
      <c r="F50" t="str">
        <f t="shared" si="0"/>
        <v>&gt;0.05</v>
      </c>
      <c r="J50" t="str">
        <f t="shared" si="1"/>
        <v>&gt;0.05</v>
      </c>
      <c r="N50" t="str">
        <f t="shared" si="2"/>
        <v>&gt;0.05</v>
      </c>
      <c r="R50" t="str">
        <f t="shared" si="3"/>
        <v>&gt;0.05</v>
      </c>
    </row>
    <row r="51" spans="6:18">
      <c r="F51" t="str">
        <f t="shared" si="0"/>
        <v>&gt;0.05</v>
      </c>
      <c r="J51" t="str">
        <f t="shared" si="1"/>
        <v>&gt;0.05</v>
      </c>
      <c r="N51" t="str">
        <f t="shared" si="2"/>
        <v>&gt;0.05</v>
      </c>
      <c r="R51" t="str">
        <f t="shared" si="3"/>
        <v>&gt;0.05</v>
      </c>
    </row>
    <row r="52" spans="6:18">
      <c r="F52" t="str">
        <f t="shared" si="0"/>
        <v>&gt;0.05</v>
      </c>
      <c r="J52" t="str">
        <f t="shared" si="1"/>
        <v>&gt;0.05</v>
      </c>
      <c r="N52" t="str">
        <f t="shared" si="2"/>
        <v>&gt;0.05</v>
      </c>
      <c r="R52" t="str">
        <f t="shared" si="3"/>
        <v>&gt;0.05</v>
      </c>
    </row>
    <row r="53" spans="6:18">
      <c r="F53" t="str">
        <f t="shared" si="0"/>
        <v>&gt;0.05</v>
      </c>
      <c r="J53" t="str">
        <f t="shared" si="1"/>
        <v>&gt;0.05</v>
      </c>
      <c r="N53" t="str">
        <f t="shared" si="2"/>
        <v>&gt;0.05</v>
      </c>
      <c r="R53" t="str">
        <f t="shared" si="3"/>
        <v>&gt;0.05</v>
      </c>
    </row>
    <row r="54" spans="6:18">
      <c r="F54" t="str">
        <f t="shared" si="0"/>
        <v>&gt;0.05</v>
      </c>
      <c r="J54" t="str">
        <f t="shared" si="1"/>
        <v>&gt;0.05</v>
      </c>
      <c r="N54" t="str">
        <f t="shared" si="2"/>
        <v>&gt;0.05</v>
      </c>
      <c r="R54" t="str">
        <f t="shared" si="3"/>
        <v>&gt;0.05</v>
      </c>
    </row>
    <row r="55" spans="6:18">
      <c r="F55" t="str">
        <f t="shared" si="0"/>
        <v>&gt;0.05</v>
      </c>
      <c r="J55" t="str">
        <f t="shared" si="1"/>
        <v>&gt;0.05</v>
      </c>
      <c r="N55" t="str">
        <f t="shared" si="2"/>
        <v>&gt;0.05</v>
      </c>
      <c r="R55" t="str">
        <f t="shared" si="3"/>
        <v>&gt;0.05</v>
      </c>
    </row>
    <row r="56" spans="6:18">
      <c r="F56" t="str">
        <f t="shared" si="0"/>
        <v>&gt;0.05</v>
      </c>
      <c r="J56" t="str">
        <f t="shared" si="1"/>
        <v>&gt;0.05</v>
      </c>
      <c r="N56" t="str">
        <f t="shared" si="2"/>
        <v>&gt;0.05</v>
      </c>
      <c r="R56" t="str">
        <f t="shared" si="3"/>
        <v>&gt;0.05</v>
      </c>
    </row>
    <row r="57" spans="6:18">
      <c r="F57" t="str">
        <f t="shared" si="0"/>
        <v>&gt;0.05</v>
      </c>
      <c r="J57" t="str">
        <f t="shared" si="1"/>
        <v>&gt;0.05</v>
      </c>
      <c r="N57" t="str">
        <f t="shared" si="2"/>
        <v>&gt;0.05</v>
      </c>
      <c r="R57" t="str">
        <f t="shared" si="3"/>
        <v>&gt;0.05</v>
      </c>
    </row>
    <row r="58" spans="6:18">
      <c r="F58" t="str">
        <f t="shared" si="0"/>
        <v>&gt;0.05</v>
      </c>
      <c r="J58" t="str">
        <f t="shared" si="1"/>
        <v>&gt;0.05</v>
      </c>
      <c r="N58" t="str">
        <f t="shared" si="2"/>
        <v>&gt;0.05</v>
      </c>
      <c r="R58" t="str">
        <f t="shared" si="3"/>
        <v>&gt;0.05</v>
      </c>
    </row>
    <row r="59" spans="6:18">
      <c r="F59" t="str">
        <f t="shared" si="0"/>
        <v>&gt;0.05</v>
      </c>
      <c r="J59" t="str">
        <f t="shared" si="1"/>
        <v>&gt;0.05</v>
      </c>
      <c r="N59" t="str">
        <f t="shared" si="2"/>
        <v>&gt;0.05</v>
      </c>
      <c r="R59" t="str">
        <f t="shared" si="3"/>
        <v>&gt;0.05</v>
      </c>
    </row>
    <row r="60" spans="6:18">
      <c r="F60" t="str">
        <f t="shared" si="0"/>
        <v>&gt;0.05</v>
      </c>
      <c r="J60" t="str">
        <f t="shared" si="1"/>
        <v>&gt;0.05</v>
      </c>
      <c r="N60" t="str">
        <f t="shared" si="2"/>
        <v>&gt;0.05</v>
      </c>
      <c r="R60" t="str">
        <f t="shared" si="3"/>
        <v>&gt;0.05</v>
      </c>
    </row>
    <row r="61" spans="6:18">
      <c r="F61" t="str">
        <f t="shared" si="0"/>
        <v>&gt;0.05</v>
      </c>
      <c r="J61" t="str">
        <f t="shared" si="1"/>
        <v>&gt;0.05</v>
      </c>
      <c r="N61" t="str">
        <f t="shared" si="2"/>
        <v>&gt;0.05</v>
      </c>
      <c r="R61" t="str">
        <f t="shared" si="3"/>
        <v>&gt;0.05</v>
      </c>
    </row>
    <row r="62" spans="6:18">
      <c r="F62" t="str">
        <f t="shared" si="0"/>
        <v>&gt;0.05</v>
      </c>
      <c r="J62" t="str">
        <f t="shared" si="1"/>
        <v>&gt;0.05</v>
      </c>
      <c r="N62" t="str">
        <f t="shared" si="2"/>
        <v>&gt;0.05</v>
      </c>
      <c r="R62" t="str">
        <f t="shared" si="3"/>
        <v>&gt;0.05</v>
      </c>
    </row>
    <row r="63" spans="6:18">
      <c r="F63" t="str">
        <f t="shared" si="0"/>
        <v>&gt;0.05</v>
      </c>
      <c r="J63" t="str">
        <f t="shared" si="1"/>
        <v>&gt;0.05</v>
      </c>
      <c r="N63" t="str">
        <f t="shared" si="2"/>
        <v>&gt;0.05</v>
      </c>
      <c r="R63" t="str">
        <f t="shared" si="3"/>
        <v>&gt;0.05</v>
      </c>
    </row>
    <row r="64" spans="6:18">
      <c r="F64" t="str">
        <f t="shared" si="0"/>
        <v>&gt;0.05</v>
      </c>
      <c r="J64" t="str">
        <f t="shared" si="1"/>
        <v>&gt;0.05</v>
      </c>
      <c r="N64" t="str">
        <f t="shared" si="2"/>
        <v>&gt;0.05</v>
      </c>
      <c r="R64" t="str">
        <f t="shared" si="3"/>
        <v>&gt;0.05</v>
      </c>
    </row>
    <row r="65" spans="6:18">
      <c r="F65" t="str">
        <f t="shared" si="0"/>
        <v>&gt;0.05</v>
      </c>
      <c r="J65" t="str">
        <f t="shared" si="1"/>
        <v>&gt;0.05</v>
      </c>
      <c r="N65" t="str">
        <f t="shared" si="2"/>
        <v>&gt;0.05</v>
      </c>
      <c r="R65" t="str">
        <f t="shared" si="3"/>
        <v>&gt;0.05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15657</dc:creator>
  <cp:lastModifiedBy>赵文玉</cp:lastModifiedBy>
  <dcterms:created xsi:type="dcterms:W3CDTF">2026-01-13T14:29:00Z</dcterms:created>
  <dcterms:modified xsi:type="dcterms:W3CDTF">2026-02-12T10:19:19Z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1C5F80791D394023B7E50743CF6A8137_11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