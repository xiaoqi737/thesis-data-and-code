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<sst xmlns="http://schemas.openxmlformats.org/spreadsheetml/2006/main" count="49" uniqueCount="49">
  <si>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r>
      <rPr>
        <sz val="11"/>
        <rFont val="Calibri"/>
        <charset val="134"/>
      </rPr>
      <t>p</t>
    </r>
    <r>
      <rPr>
        <sz val="11"/>
        <rFont val="宋体"/>
        <charset val="134"/>
      </rPr>
      <t>值</t>
    </r>
  </si>
  <si>
    <t>MSE</t>
  </si>
  <si>
    <t>斜率</t>
  </si>
  <si>
    <t>常数</t>
  </si>
  <si>
    <t>地区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</si>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</sst>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 applyFill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tabSelected="1" workbookViewId="0">
      <selection activeCell="A2" sqref="A2:D32"/>
    </sheetView>
  </sheetViews>
  <sheetFormatPr defaultColWidth="9" defaultRowHeight="14.4"/>
  <cols>
    <col min="1" max="2" width="15.712962962963" customWidth="1"/>
    <col min="3" max="3" width="11.712962962963" customWidth="1"/>
    <col min="4" max="4" width="12.3796296296296" customWidth="1"/>
    <col min="6" max="6" width="14.1111111111111"/>
    <col min="7" max="18" width="12.8888888888889"/>
  </cols>
  <sheetData>
    <row r="1" spans="1:18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>
        <v>8.63561665625026e-7</v>
      </c>
      <c r="B2">
        <v>3329.28215128133</v>
      </c>
      <c r="C2">
        <v>42.1092679670332</v>
      </c>
      <c r="D2">
        <v>-84533.4578851653</v>
      </c>
      <c r="E2" s="3" t="s">
        <v>18</v>
      </c>
      <c r="F2">
        <f>$C2*F$1+$D2</f>
        <v>190.389264505488</v>
      </c>
      <c r="G2">
        <f t="shared" ref="G2:R2" si="0">$C2*G$1+$D2</f>
        <v>232.498532472528</v>
      </c>
      <c r="H2">
        <f t="shared" si="0"/>
        <v>274.607800439553</v>
      </c>
      <c r="I2">
        <f t="shared" si="0"/>
        <v>316.717068406593</v>
      </c>
      <c r="J2">
        <f t="shared" si="0"/>
        <v>358.826336373619</v>
      </c>
      <c r="K2">
        <f t="shared" si="0"/>
        <v>400.935604340659</v>
      </c>
      <c r="L2">
        <f t="shared" si="0"/>
        <v>443.044872307684</v>
      </c>
      <c r="M2">
        <f t="shared" si="0"/>
        <v>485.154140274724</v>
      </c>
      <c r="N2">
        <f t="shared" si="0"/>
        <v>527.26340824175</v>
      </c>
      <c r="O2">
        <f t="shared" si="0"/>
        <v>569.37267620879</v>
      </c>
      <c r="P2">
        <f t="shared" si="0"/>
        <v>611.481944175815</v>
      </c>
      <c r="Q2">
        <f t="shared" si="0"/>
        <v>653.591212142856</v>
      </c>
      <c r="R2">
        <f t="shared" si="0"/>
        <v>695.700480109881</v>
      </c>
    </row>
    <row r="3" spans="1:18">
      <c r="A3">
        <v>0.0355185001542295</v>
      </c>
      <c r="B3">
        <v>1210.27474581549</v>
      </c>
      <c r="C3">
        <v>6.17717725274725</v>
      </c>
      <c r="D3">
        <v>-12205.7265175824</v>
      </c>
      <c r="E3" s="3" t="s">
        <v>19</v>
      </c>
      <c r="F3">
        <f t="shared" ref="F3:F32" si="1">$C3*F$1+$D3</f>
        <v>222.754114945055</v>
      </c>
      <c r="G3">
        <f t="shared" ref="G3:R3" si="2">$C3*G$1+$D3</f>
        <v>228.931292197802</v>
      </c>
      <c r="H3">
        <f t="shared" si="2"/>
        <v>235.10846945055</v>
      </c>
      <c r="I3">
        <f t="shared" si="2"/>
        <v>241.285646703296</v>
      </c>
      <c r="J3">
        <f t="shared" si="2"/>
        <v>247.462823956044</v>
      </c>
      <c r="K3">
        <f t="shared" si="2"/>
        <v>253.640001208791</v>
      </c>
      <c r="L3">
        <f t="shared" si="2"/>
        <v>259.817178461539</v>
      </c>
      <c r="M3">
        <f t="shared" si="2"/>
        <v>265.994355714285</v>
      </c>
      <c r="N3">
        <f t="shared" si="2"/>
        <v>272.171532967033</v>
      </c>
      <c r="O3">
        <f t="shared" si="2"/>
        <v>278.34871021978</v>
      </c>
      <c r="P3">
        <f t="shared" si="2"/>
        <v>284.525887472528</v>
      </c>
      <c r="Q3">
        <f t="shared" si="2"/>
        <v>290.703064725274</v>
      </c>
      <c r="R3">
        <f t="shared" si="2"/>
        <v>296.880241978022</v>
      </c>
    </row>
    <row r="4" spans="1:18">
      <c r="A4">
        <v>7.61780566525657e-8</v>
      </c>
      <c r="B4">
        <v>5713.91376328876</v>
      </c>
      <c r="C4">
        <v>70.0571569780224</v>
      </c>
      <c r="D4">
        <v>-140887.392131649</v>
      </c>
      <c r="E4" s="3" t="s">
        <v>20</v>
      </c>
      <c r="F4">
        <f t="shared" si="1"/>
        <v>67.6077081318654</v>
      </c>
      <c r="G4">
        <f t="shared" ref="G4:R4" si="3">$C4*G$1+$D4</f>
        <v>137.664865109895</v>
      </c>
      <c r="H4">
        <f t="shared" si="3"/>
        <v>207.722022087895</v>
      </c>
      <c r="I4">
        <f t="shared" si="3"/>
        <v>277.779179065925</v>
      </c>
      <c r="J4">
        <f t="shared" si="3"/>
        <v>347.836336043954</v>
      </c>
      <c r="K4">
        <f t="shared" si="3"/>
        <v>417.893493021984</v>
      </c>
      <c r="L4">
        <f t="shared" si="3"/>
        <v>487.950649999984</v>
      </c>
      <c r="M4">
        <f t="shared" si="3"/>
        <v>558.007806978014</v>
      </c>
      <c r="N4">
        <f t="shared" si="3"/>
        <v>628.064963956043</v>
      </c>
      <c r="O4">
        <f t="shared" si="3"/>
        <v>698.122120934073</v>
      </c>
      <c r="P4">
        <f t="shared" si="3"/>
        <v>768.179277912073</v>
      </c>
      <c r="Q4">
        <f t="shared" si="3"/>
        <v>838.236434890103</v>
      </c>
      <c r="R4">
        <f t="shared" si="3"/>
        <v>908.293591868132</v>
      </c>
    </row>
    <row r="5" spans="1:18">
      <c r="A5">
        <v>6.81024579606627e-5</v>
      </c>
      <c r="B5">
        <v>591.69907399229</v>
      </c>
      <c r="C5">
        <v>11.1612681318682</v>
      </c>
      <c r="D5">
        <v>-22390.2378024177</v>
      </c>
      <c r="E5" s="3" t="s">
        <v>21</v>
      </c>
      <c r="F5">
        <f t="shared" si="1"/>
        <v>66.2336789010951</v>
      </c>
      <c r="G5">
        <f t="shared" ref="G5:R5" si="4">$C5*G$1+$D5</f>
        <v>77.3949470329644</v>
      </c>
      <c r="H5">
        <f t="shared" si="4"/>
        <v>88.5562151648301</v>
      </c>
      <c r="I5">
        <f t="shared" si="4"/>
        <v>99.7174832966994</v>
      </c>
      <c r="J5">
        <f t="shared" si="4"/>
        <v>110.878751428569</v>
      </c>
      <c r="K5">
        <f t="shared" si="4"/>
        <v>122.040019560434</v>
      </c>
      <c r="L5">
        <f t="shared" si="4"/>
        <v>133.201287692304</v>
      </c>
      <c r="M5">
        <f t="shared" si="4"/>
        <v>144.362555824173</v>
      </c>
      <c r="N5">
        <f t="shared" si="4"/>
        <v>155.523823956042</v>
      </c>
      <c r="O5">
        <f t="shared" si="4"/>
        <v>166.685092087908</v>
      </c>
      <c r="P5">
        <f t="shared" si="4"/>
        <v>177.846360219777</v>
      </c>
      <c r="Q5">
        <f t="shared" si="4"/>
        <v>189.007628351646</v>
      </c>
      <c r="R5">
        <f t="shared" si="4"/>
        <v>200.168896483512</v>
      </c>
    </row>
    <row r="6" spans="1:18">
      <c r="A6">
        <v>3.8446867387253e-5</v>
      </c>
      <c r="B6">
        <v>845.565632773846</v>
      </c>
      <c r="C6">
        <v>14.2338626923078</v>
      </c>
      <c r="D6">
        <v>-28614.8146100002</v>
      </c>
      <c r="E6" s="3" t="s">
        <v>22</v>
      </c>
      <c r="F6">
        <f t="shared" si="1"/>
        <v>23.7171269230748</v>
      </c>
      <c r="G6">
        <f t="shared" ref="G6:R6" si="5">$C6*G$1+$D6</f>
        <v>37.9509896153832</v>
      </c>
      <c r="H6">
        <f t="shared" si="5"/>
        <v>52.1848523076915</v>
      </c>
      <c r="I6">
        <f t="shared" si="5"/>
        <v>66.4187149999998</v>
      </c>
      <c r="J6">
        <f t="shared" si="5"/>
        <v>80.6525776923081</v>
      </c>
      <c r="K6">
        <f t="shared" si="5"/>
        <v>94.8864403846128</v>
      </c>
      <c r="L6">
        <f t="shared" si="5"/>
        <v>109.120303076921</v>
      </c>
      <c r="M6">
        <f t="shared" si="5"/>
        <v>123.354165769229</v>
      </c>
      <c r="N6">
        <f t="shared" si="5"/>
        <v>137.588028461538</v>
      </c>
      <c r="O6">
        <f t="shared" si="5"/>
        <v>151.821891153846</v>
      </c>
      <c r="P6">
        <f t="shared" si="5"/>
        <v>166.055753846154</v>
      </c>
      <c r="Q6">
        <f t="shared" si="5"/>
        <v>180.289616538463</v>
      </c>
      <c r="R6">
        <f t="shared" si="5"/>
        <v>194.523479230767</v>
      </c>
    </row>
    <row r="7" spans="1:18">
      <c r="A7">
        <v>0.00128852111778896</v>
      </c>
      <c r="B7">
        <v>1624.5910001086</v>
      </c>
      <c r="C7">
        <v>12.8014018681319</v>
      </c>
      <c r="D7">
        <v>-25496.0888083518</v>
      </c>
      <c r="E7" s="3" t="s">
        <v>23</v>
      </c>
      <c r="F7">
        <f t="shared" si="1"/>
        <v>260.331750329668</v>
      </c>
      <c r="G7">
        <f t="shared" ref="G7:R7" si="6">$C7*G$1+$D7</f>
        <v>273.133152197799</v>
      </c>
      <c r="H7">
        <f t="shared" si="6"/>
        <v>285.934554065931</v>
      </c>
      <c r="I7">
        <f t="shared" si="6"/>
        <v>298.735955934062</v>
      </c>
      <c r="J7">
        <f t="shared" si="6"/>
        <v>311.537357802194</v>
      </c>
      <c r="K7">
        <f t="shared" si="6"/>
        <v>324.338759670325</v>
      </c>
      <c r="L7">
        <f t="shared" si="6"/>
        <v>337.140161538457</v>
      </c>
      <c r="M7">
        <f t="shared" si="6"/>
        <v>349.941563406592</v>
      </c>
      <c r="N7">
        <f t="shared" si="6"/>
        <v>362.742965274723</v>
      </c>
      <c r="O7">
        <f t="shared" si="6"/>
        <v>375.544367142855</v>
      </c>
      <c r="P7">
        <f t="shared" si="6"/>
        <v>388.345769010986</v>
      </c>
      <c r="Q7">
        <f t="shared" si="6"/>
        <v>401.147170879118</v>
      </c>
      <c r="R7">
        <f t="shared" si="6"/>
        <v>413.948572747249</v>
      </c>
    </row>
    <row r="8" spans="1:18">
      <c r="A8">
        <v>5.27938456111902e-7</v>
      </c>
      <c r="B8">
        <v>304.120663753238</v>
      </c>
      <c r="C8">
        <v>13.368353901099</v>
      </c>
      <c r="D8">
        <v>-26834.2658093409</v>
      </c>
      <c r="E8" s="3" t="s">
        <v>24</v>
      </c>
      <c r="F8">
        <f t="shared" si="1"/>
        <v>62.8622396703286</v>
      </c>
      <c r="G8">
        <f t="shared" ref="G8:R8" si="7">$C8*G$1+$D8</f>
        <v>76.2305935714285</v>
      </c>
      <c r="H8">
        <f t="shared" si="7"/>
        <v>89.5989474725247</v>
      </c>
      <c r="I8">
        <f t="shared" si="7"/>
        <v>102.967301373625</v>
      </c>
      <c r="J8">
        <f t="shared" si="7"/>
        <v>116.335655274725</v>
      </c>
      <c r="K8">
        <f t="shared" si="7"/>
        <v>129.704009175824</v>
      </c>
      <c r="L8">
        <f t="shared" si="7"/>
        <v>143.072363076921</v>
      </c>
      <c r="M8">
        <f t="shared" si="7"/>
        <v>156.440716978021</v>
      </c>
      <c r="N8">
        <f t="shared" si="7"/>
        <v>169.809070879121</v>
      </c>
      <c r="O8">
        <f t="shared" si="7"/>
        <v>183.17742478022</v>
      </c>
      <c r="P8">
        <f t="shared" si="7"/>
        <v>196.545778681317</v>
      </c>
      <c r="Q8">
        <f t="shared" si="7"/>
        <v>209.914132582417</v>
      </c>
      <c r="R8">
        <f t="shared" si="7"/>
        <v>223.282486483517</v>
      </c>
    </row>
    <row r="9" spans="1:18">
      <c r="A9">
        <v>0.0185844732078256</v>
      </c>
      <c r="B9">
        <v>332.461194656751</v>
      </c>
      <c r="C9">
        <v>3.72913681318682</v>
      </c>
      <c r="D9">
        <v>-7438.8269536264</v>
      </c>
      <c r="E9" s="3" t="s">
        <v>25</v>
      </c>
      <c r="F9">
        <f t="shared" si="1"/>
        <v>64.1963145054933</v>
      </c>
      <c r="G9">
        <f t="shared" ref="G9:R9" si="8">$C9*G$1+$D9</f>
        <v>67.9254513186797</v>
      </c>
      <c r="H9">
        <f t="shared" si="8"/>
        <v>71.6545881318671</v>
      </c>
      <c r="I9">
        <f t="shared" si="8"/>
        <v>75.3837249450535</v>
      </c>
      <c r="J9">
        <f t="shared" si="8"/>
        <v>79.1128617582408</v>
      </c>
      <c r="K9">
        <f t="shared" si="8"/>
        <v>82.8419985714272</v>
      </c>
      <c r="L9">
        <f t="shared" si="8"/>
        <v>86.5711353846136</v>
      </c>
      <c r="M9">
        <f t="shared" si="8"/>
        <v>90.300272197801</v>
      </c>
      <c r="N9">
        <f t="shared" si="8"/>
        <v>94.0294090109874</v>
      </c>
      <c r="O9">
        <f t="shared" si="8"/>
        <v>97.7585458241747</v>
      </c>
      <c r="P9">
        <f t="shared" si="8"/>
        <v>101.487682637361</v>
      </c>
      <c r="Q9">
        <f t="shared" si="8"/>
        <v>105.216819450548</v>
      </c>
      <c r="R9">
        <f t="shared" si="8"/>
        <v>108.945956263735</v>
      </c>
    </row>
    <row r="10" spans="1:18">
      <c r="A10">
        <v>2.03781424839876e-8</v>
      </c>
      <c r="B10">
        <v>4478.63576676094</v>
      </c>
      <c r="C10">
        <v>70.4032619230772</v>
      </c>
      <c r="D10">
        <v>-141250.45327077</v>
      </c>
      <c r="E10" s="3" t="s">
        <v>26</v>
      </c>
      <c r="F10">
        <f t="shared" si="1"/>
        <v>400.909718461509</v>
      </c>
      <c r="G10">
        <f t="shared" ref="G10:R10" si="9">$C10*G$1+$D10</f>
        <v>471.312980384595</v>
      </c>
      <c r="H10">
        <f t="shared" si="9"/>
        <v>541.716242307681</v>
      </c>
      <c r="I10">
        <f t="shared" si="9"/>
        <v>612.119504230766</v>
      </c>
      <c r="J10">
        <f t="shared" si="9"/>
        <v>682.522766153823</v>
      </c>
      <c r="K10">
        <f t="shared" si="9"/>
        <v>752.926028076909</v>
      </c>
      <c r="L10">
        <f t="shared" si="9"/>
        <v>823.329289999994</v>
      </c>
      <c r="M10">
        <f t="shared" si="9"/>
        <v>893.732551923051</v>
      </c>
      <c r="N10">
        <f t="shared" si="9"/>
        <v>964.135813846136</v>
      </c>
      <c r="O10">
        <f t="shared" si="9"/>
        <v>1034.53907576922</v>
      </c>
      <c r="P10">
        <f t="shared" si="9"/>
        <v>1104.94233769231</v>
      </c>
      <c r="Q10">
        <f t="shared" si="9"/>
        <v>1175.34559961536</v>
      </c>
      <c r="R10">
        <f t="shared" si="9"/>
        <v>1245.74886153845</v>
      </c>
    </row>
    <row r="11" spans="1:18">
      <c r="A11">
        <v>2.69433636931614e-8</v>
      </c>
      <c r="B11">
        <v>57328.6546334389</v>
      </c>
      <c r="C11">
        <v>245.251040054946</v>
      </c>
      <c r="D11">
        <v>-492279.527684728</v>
      </c>
      <c r="E11" s="3" t="s">
        <v>27</v>
      </c>
      <c r="F11">
        <f t="shared" si="1"/>
        <v>1165.56490582414</v>
      </c>
      <c r="G11">
        <f t="shared" ref="G11:R11" si="10">$C11*G$1+$D11</f>
        <v>1410.81594587909</v>
      </c>
      <c r="H11">
        <f t="shared" si="10"/>
        <v>1656.06698593404</v>
      </c>
      <c r="I11">
        <f t="shared" si="10"/>
        <v>1901.31802598899</v>
      </c>
      <c r="J11">
        <f t="shared" si="10"/>
        <v>2146.56906604388</v>
      </c>
      <c r="K11">
        <f t="shared" si="10"/>
        <v>2391.82010609884</v>
      </c>
      <c r="L11">
        <f t="shared" si="10"/>
        <v>2637.07114615379</v>
      </c>
      <c r="M11">
        <f t="shared" si="10"/>
        <v>2882.32218620874</v>
      </c>
      <c r="N11">
        <f t="shared" si="10"/>
        <v>3127.57322626369</v>
      </c>
      <c r="O11">
        <f t="shared" si="10"/>
        <v>3372.82426631864</v>
      </c>
      <c r="P11">
        <f t="shared" si="10"/>
        <v>3618.07530637359</v>
      </c>
      <c r="Q11">
        <f t="shared" si="10"/>
        <v>3863.32634642854</v>
      </c>
      <c r="R11">
        <f t="shared" si="10"/>
        <v>4108.57738648349</v>
      </c>
    </row>
    <row r="12" spans="1:18">
      <c r="A12">
        <v>6.33970163691156e-7</v>
      </c>
      <c r="B12">
        <v>82842.4817245345</v>
      </c>
      <c r="C12">
        <v>216.651482582419</v>
      </c>
      <c r="D12">
        <v>-435567.112681321</v>
      </c>
      <c r="E12" s="3" t="s">
        <v>28</v>
      </c>
      <c r="F12">
        <f t="shared" si="1"/>
        <v>335.67027450545</v>
      </c>
      <c r="G12">
        <f t="shared" ref="G12:R12" si="11">$C12*G$1+$D12</f>
        <v>552.321757087891</v>
      </c>
      <c r="H12">
        <f t="shared" si="11"/>
        <v>768.973239670275</v>
      </c>
      <c r="I12">
        <f t="shared" si="11"/>
        <v>985.624722252716</v>
      </c>
      <c r="J12">
        <f t="shared" si="11"/>
        <v>1202.2762048351</v>
      </c>
      <c r="K12">
        <f t="shared" si="11"/>
        <v>1418.92768741754</v>
      </c>
      <c r="L12">
        <f t="shared" si="11"/>
        <v>1635.57916999998</v>
      </c>
      <c r="M12">
        <f t="shared" si="11"/>
        <v>1852.23065258237</v>
      </c>
      <c r="N12">
        <f t="shared" si="11"/>
        <v>2068.88213516481</v>
      </c>
      <c r="O12">
        <f t="shared" si="11"/>
        <v>2285.53361774719</v>
      </c>
      <c r="P12">
        <f t="shared" si="11"/>
        <v>2502.18510032963</v>
      </c>
      <c r="Q12">
        <f t="shared" si="11"/>
        <v>2718.83658291207</v>
      </c>
      <c r="R12">
        <f t="shared" si="11"/>
        <v>2935.48806549446</v>
      </c>
    </row>
    <row r="13" spans="1:18">
      <c r="A13">
        <v>4.65420553362507e-8</v>
      </c>
      <c r="B13">
        <v>7291.77838538365</v>
      </c>
      <c r="C13">
        <v>82.9956657142862</v>
      </c>
      <c r="D13">
        <v>-166821.806663737</v>
      </c>
      <c r="E13" s="3" t="s">
        <v>29</v>
      </c>
      <c r="F13">
        <f t="shared" si="1"/>
        <v>165.472753406561</v>
      </c>
      <c r="G13">
        <f t="shared" ref="G13:R13" si="12">$C13*G$1+$D13</f>
        <v>248.468419120851</v>
      </c>
      <c r="H13">
        <f t="shared" si="12"/>
        <v>331.464084835141</v>
      </c>
      <c r="I13">
        <f t="shared" si="12"/>
        <v>414.459750549431</v>
      </c>
      <c r="J13">
        <f t="shared" si="12"/>
        <v>497.455416263692</v>
      </c>
      <c r="K13">
        <f t="shared" si="12"/>
        <v>580.451081977983</v>
      </c>
      <c r="L13">
        <f t="shared" si="12"/>
        <v>663.446747692273</v>
      </c>
      <c r="M13">
        <f t="shared" si="12"/>
        <v>746.442413406563</v>
      </c>
      <c r="N13">
        <f t="shared" si="12"/>
        <v>829.438079120853</v>
      </c>
      <c r="O13">
        <f t="shared" si="12"/>
        <v>912.433744835143</v>
      </c>
      <c r="P13">
        <f t="shared" si="12"/>
        <v>995.429410549434</v>
      </c>
      <c r="Q13">
        <f t="shared" si="12"/>
        <v>1078.42507626369</v>
      </c>
      <c r="R13">
        <f t="shared" si="12"/>
        <v>1161.42074197799</v>
      </c>
    </row>
    <row r="14" spans="1:18">
      <c r="A14">
        <v>6.0863821841393e-9</v>
      </c>
      <c r="B14">
        <v>3544.33189969541</v>
      </c>
      <c r="C14">
        <v>70.2486968131872</v>
      </c>
      <c r="D14">
        <v>-141203.312874396</v>
      </c>
      <c r="E14" s="3" t="s">
        <v>30</v>
      </c>
      <c r="F14">
        <f t="shared" si="1"/>
        <v>137.065113736258</v>
      </c>
      <c r="G14">
        <f t="shared" ref="G14:R14" si="13">$C14*G$1+$D14</f>
        <v>207.313810549444</v>
      </c>
      <c r="H14">
        <f t="shared" si="13"/>
        <v>277.562507362629</v>
      </c>
      <c r="I14">
        <f t="shared" si="13"/>
        <v>347.811204175814</v>
      </c>
      <c r="J14">
        <f t="shared" si="13"/>
        <v>418.059900988999</v>
      </c>
      <c r="K14">
        <f t="shared" si="13"/>
        <v>488.308597802185</v>
      </c>
      <c r="L14">
        <f t="shared" si="13"/>
        <v>558.55729461537</v>
      </c>
      <c r="M14">
        <f t="shared" si="13"/>
        <v>628.805991428555</v>
      </c>
      <c r="N14">
        <f t="shared" si="13"/>
        <v>699.05468824174</v>
      </c>
      <c r="O14">
        <f t="shared" si="13"/>
        <v>769.303385054925</v>
      </c>
      <c r="P14">
        <f t="shared" si="13"/>
        <v>839.552081868111</v>
      </c>
      <c r="Q14">
        <f t="shared" si="13"/>
        <v>909.800778681296</v>
      </c>
      <c r="R14">
        <f t="shared" si="13"/>
        <v>980.049475494481</v>
      </c>
    </row>
    <row r="15" spans="1:18">
      <c r="A15">
        <v>1.36892977742043e-10</v>
      </c>
      <c r="B15">
        <v>1256.72770501813</v>
      </c>
      <c r="C15">
        <v>59.6475381868135</v>
      </c>
      <c r="D15">
        <v>-119990.556682528</v>
      </c>
      <c r="E15" s="3" t="s">
        <v>31</v>
      </c>
      <c r="F15">
        <f t="shared" si="1"/>
        <v>20.2901493406534</v>
      </c>
      <c r="G15">
        <f t="shared" ref="G15:R15" si="14">$C15*G$1+$D15</f>
        <v>79.9376875274611</v>
      </c>
      <c r="H15">
        <f t="shared" si="14"/>
        <v>139.585225714269</v>
      </c>
      <c r="I15">
        <f t="shared" si="14"/>
        <v>199.232763901091</v>
      </c>
      <c r="J15">
        <f t="shared" si="14"/>
        <v>258.880302087899</v>
      </c>
      <c r="K15">
        <f t="shared" si="14"/>
        <v>318.527840274721</v>
      </c>
      <c r="L15">
        <f t="shared" si="14"/>
        <v>378.175378461528</v>
      </c>
      <c r="M15">
        <f t="shared" si="14"/>
        <v>437.822916648336</v>
      </c>
      <c r="N15">
        <f t="shared" si="14"/>
        <v>497.470454835158</v>
      </c>
      <c r="O15">
        <f t="shared" si="14"/>
        <v>557.117993021966</v>
      </c>
      <c r="P15">
        <f t="shared" si="14"/>
        <v>616.765531208788</v>
      </c>
      <c r="Q15">
        <f t="shared" si="14"/>
        <v>676.413069395596</v>
      </c>
      <c r="R15">
        <f t="shared" si="14"/>
        <v>736.060607582403</v>
      </c>
    </row>
    <row r="16" spans="1:18">
      <c r="A16">
        <v>0.000153708361334594</v>
      </c>
      <c r="B16">
        <v>97236.9210548138</v>
      </c>
      <c r="C16">
        <v>130.092440989012</v>
      </c>
      <c r="D16">
        <v>-261050.079664288</v>
      </c>
      <c r="E16" s="3" t="s">
        <v>32</v>
      </c>
      <c r="F16">
        <f t="shared" si="1"/>
        <v>695.911605604371</v>
      </c>
      <c r="G16">
        <f t="shared" ref="G16:R16" si="15">$C16*G$1+$D16</f>
        <v>826.004046593356</v>
      </c>
      <c r="H16">
        <f t="shared" si="15"/>
        <v>956.09648758237</v>
      </c>
      <c r="I16">
        <f t="shared" si="15"/>
        <v>1086.18892857138</v>
      </c>
      <c r="J16">
        <f t="shared" si="15"/>
        <v>1216.2813695604</v>
      </c>
      <c r="K16">
        <f t="shared" si="15"/>
        <v>1346.37381054944</v>
      </c>
      <c r="L16">
        <f t="shared" si="15"/>
        <v>1476.46625153843</v>
      </c>
      <c r="M16">
        <f t="shared" si="15"/>
        <v>1606.55869252747</v>
      </c>
      <c r="N16">
        <f t="shared" si="15"/>
        <v>1736.65113351645</v>
      </c>
      <c r="O16">
        <f t="shared" si="15"/>
        <v>1866.74357450544</v>
      </c>
      <c r="P16">
        <f t="shared" si="15"/>
        <v>1996.83601549448</v>
      </c>
      <c r="Q16">
        <f t="shared" si="15"/>
        <v>2126.92845648347</v>
      </c>
      <c r="R16">
        <f t="shared" si="15"/>
        <v>2257.02089747251</v>
      </c>
    </row>
    <row r="17" spans="1:18">
      <c r="A17">
        <v>8.82436503156739e-10</v>
      </c>
      <c r="B17">
        <v>873.864057329342</v>
      </c>
      <c r="C17">
        <v>41.8206950549452</v>
      </c>
      <c r="D17">
        <v>-83938.4981901103</v>
      </c>
      <c r="E17" s="3" t="s">
        <v>33</v>
      </c>
      <c r="F17">
        <f t="shared" si="1"/>
        <v>204.740260439547</v>
      </c>
      <c r="G17">
        <f t="shared" ref="G17:R17" si="16">$C17*G$1+$D17</f>
        <v>246.560955494497</v>
      </c>
      <c r="H17">
        <f t="shared" si="16"/>
        <v>288.381650549447</v>
      </c>
      <c r="I17">
        <f t="shared" si="16"/>
        <v>330.202345604383</v>
      </c>
      <c r="J17">
        <f t="shared" si="16"/>
        <v>372.023040659333</v>
      </c>
      <c r="K17">
        <f t="shared" si="16"/>
        <v>413.843735714283</v>
      </c>
      <c r="L17">
        <f t="shared" si="16"/>
        <v>455.664430769219</v>
      </c>
      <c r="M17">
        <f t="shared" si="16"/>
        <v>497.485125824169</v>
      </c>
      <c r="N17">
        <f t="shared" si="16"/>
        <v>539.305820879119</v>
      </c>
      <c r="O17">
        <f t="shared" si="16"/>
        <v>581.126515934055</v>
      </c>
      <c r="P17">
        <f t="shared" si="16"/>
        <v>622.947210989005</v>
      </c>
      <c r="Q17">
        <f t="shared" si="16"/>
        <v>664.767906043955</v>
      </c>
      <c r="R17">
        <f t="shared" si="16"/>
        <v>706.588601098891</v>
      </c>
    </row>
    <row r="18" spans="1:18">
      <c r="A18">
        <v>4.78934405076596e-8</v>
      </c>
      <c r="B18">
        <v>6929.68574234611</v>
      </c>
      <c r="C18">
        <v>80.6861083516488</v>
      </c>
      <c r="D18">
        <v>-162168.957265935</v>
      </c>
      <c r="E18" s="3" t="s">
        <v>34</v>
      </c>
      <c r="F18">
        <f t="shared" si="1"/>
        <v>171.49273758239</v>
      </c>
      <c r="G18">
        <f t="shared" ref="G18:R18" si="17">$C18*G$1+$D18</f>
        <v>252.178845934046</v>
      </c>
      <c r="H18">
        <f t="shared" si="17"/>
        <v>332.864954285673</v>
      </c>
      <c r="I18">
        <f t="shared" si="17"/>
        <v>413.551062637329</v>
      </c>
      <c r="J18">
        <f t="shared" si="17"/>
        <v>494.237170988985</v>
      </c>
      <c r="K18">
        <f t="shared" si="17"/>
        <v>574.923279340641</v>
      </c>
      <c r="L18">
        <f t="shared" si="17"/>
        <v>655.609387692268</v>
      </c>
      <c r="M18">
        <f t="shared" si="17"/>
        <v>736.295496043924</v>
      </c>
      <c r="N18">
        <f t="shared" si="17"/>
        <v>816.98160439558</v>
      </c>
      <c r="O18">
        <f t="shared" si="17"/>
        <v>897.667712747236</v>
      </c>
      <c r="P18">
        <f t="shared" si="17"/>
        <v>978.353821098863</v>
      </c>
      <c r="Q18">
        <f t="shared" si="17"/>
        <v>1059.03992945052</v>
      </c>
      <c r="R18">
        <f t="shared" si="17"/>
        <v>1139.72603780217</v>
      </c>
    </row>
    <row r="19" spans="1:18">
      <c r="A19">
        <v>1.78015468848309e-8</v>
      </c>
      <c r="B19">
        <v>6647.76974342241</v>
      </c>
      <c r="C19">
        <v>86.8879463186818</v>
      </c>
      <c r="D19">
        <v>-174699.358339561</v>
      </c>
      <c r="E19" s="3" t="s">
        <v>35</v>
      </c>
      <c r="F19">
        <f t="shared" si="1"/>
        <v>119.189653626381</v>
      </c>
      <c r="G19">
        <f t="shared" ref="G19:R19" si="18">$C19*G$1+$D19</f>
        <v>206.077599945042</v>
      </c>
      <c r="H19">
        <f t="shared" si="18"/>
        <v>292.965546263731</v>
      </c>
      <c r="I19">
        <f t="shared" si="18"/>
        <v>379.853492582421</v>
      </c>
      <c r="J19">
        <f t="shared" si="18"/>
        <v>466.741438901081</v>
      </c>
      <c r="K19">
        <f t="shared" si="18"/>
        <v>553.62938521977</v>
      </c>
      <c r="L19">
        <f t="shared" si="18"/>
        <v>640.51733153846</v>
      </c>
      <c r="M19">
        <f t="shared" si="18"/>
        <v>727.405277857149</v>
      </c>
      <c r="N19">
        <f t="shared" si="18"/>
        <v>814.29322417581</v>
      </c>
      <c r="O19">
        <f t="shared" si="18"/>
        <v>901.181170494499</v>
      </c>
      <c r="P19">
        <f t="shared" si="18"/>
        <v>988.069116813189</v>
      </c>
      <c r="Q19">
        <f t="shared" si="18"/>
        <v>1074.95706313188</v>
      </c>
      <c r="R19">
        <f t="shared" si="18"/>
        <v>1161.84500945054</v>
      </c>
    </row>
    <row r="20" spans="1:18">
      <c r="A20">
        <v>1.17344677011379e-11</v>
      </c>
      <c r="B20">
        <v>42953.0837826909</v>
      </c>
      <c r="C20">
        <v>437.518060714288</v>
      </c>
      <c r="D20">
        <v>-879497.858273741</v>
      </c>
      <c r="E20" s="3" t="s">
        <v>36</v>
      </c>
      <c r="F20">
        <f t="shared" si="1"/>
        <v>788.479883406428</v>
      </c>
      <c r="G20">
        <f t="shared" ref="G20:R20" si="19">$C20*G$1+$D20</f>
        <v>1225.99794412067</v>
      </c>
      <c r="H20">
        <f t="shared" si="19"/>
        <v>1663.51600483502</v>
      </c>
      <c r="I20">
        <f t="shared" si="19"/>
        <v>2101.03406554926</v>
      </c>
      <c r="J20">
        <f t="shared" si="19"/>
        <v>2538.55212626362</v>
      </c>
      <c r="K20">
        <f t="shared" si="19"/>
        <v>2976.07018697786</v>
      </c>
      <c r="L20">
        <f t="shared" si="19"/>
        <v>3413.5882476921</v>
      </c>
      <c r="M20">
        <f t="shared" si="19"/>
        <v>3851.10630840645</v>
      </c>
      <c r="N20">
        <f t="shared" si="19"/>
        <v>4288.62436912069</v>
      </c>
      <c r="O20">
        <f t="shared" si="19"/>
        <v>4726.14242983505</v>
      </c>
      <c r="P20">
        <f t="shared" si="19"/>
        <v>5163.66049054929</v>
      </c>
      <c r="Q20">
        <f t="shared" si="19"/>
        <v>5601.17855126364</v>
      </c>
      <c r="R20">
        <f t="shared" si="19"/>
        <v>6038.69661197788</v>
      </c>
    </row>
    <row r="21" spans="1:18">
      <c r="A21">
        <v>6.40144916315135e-7</v>
      </c>
      <c r="B21">
        <v>530.591637746998</v>
      </c>
      <c r="C21">
        <v>17.3218862087913</v>
      </c>
      <c r="D21">
        <v>-34806.2664870332</v>
      </c>
      <c r="E21" s="3" t="s">
        <v>37</v>
      </c>
      <c r="F21">
        <f t="shared" si="1"/>
        <v>45.3685650549378</v>
      </c>
      <c r="G21">
        <f t="shared" ref="G21:R21" si="20">$C21*G$1+$D21</f>
        <v>62.6904512637338</v>
      </c>
      <c r="H21">
        <f t="shared" si="20"/>
        <v>80.0123374725226</v>
      </c>
      <c r="I21">
        <f t="shared" si="20"/>
        <v>97.3342236813114</v>
      </c>
      <c r="J21">
        <f t="shared" si="20"/>
        <v>114.656109890107</v>
      </c>
      <c r="K21">
        <f t="shared" si="20"/>
        <v>131.977996098896</v>
      </c>
      <c r="L21">
        <f t="shared" si="20"/>
        <v>149.299882307692</v>
      </c>
      <c r="M21">
        <f t="shared" si="20"/>
        <v>166.621768516481</v>
      </c>
      <c r="N21">
        <f t="shared" si="20"/>
        <v>183.94365472527</v>
      </c>
      <c r="O21">
        <f t="shared" si="20"/>
        <v>201.265540934066</v>
      </c>
      <c r="P21">
        <f t="shared" si="20"/>
        <v>218.587427142855</v>
      </c>
      <c r="Q21">
        <f t="shared" si="20"/>
        <v>235.909313351644</v>
      </c>
      <c r="R21">
        <f t="shared" si="20"/>
        <v>253.23119956044</v>
      </c>
    </row>
    <row r="22" spans="1:18">
      <c r="A22">
        <v>7.71025931154639e-5</v>
      </c>
      <c r="B22">
        <v>53.3370391403718</v>
      </c>
      <c r="C22">
        <v>3.30357406593409</v>
      </c>
      <c r="D22">
        <v>-6644.71860582422</v>
      </c>
      <c r="E22" s="3" t="s">
        <v>38</v>
      </c>
      <c r="F22">
        <f t="shared" si="1"/>
        <v>2.07241483516373</v>
      </c>
      <c r="G22">
        <f t="shared" ref="G22:R22" si="21">$C22*G$1+$D22</f>
        <v>5.37598890109803</v>
      </c>
      <c r="H22">
        <f t="shared" si="21"/>
        <v>8.67956296703233</v>
      </c>
      <c r="I22">
        <f t="shared" si="21"/>
        <v>11.9831370329666</v>
      </c>
      <c r="J22">
        <f t="shared" si="21"/>
        <v>15.2867110989</v>
      </c>
      <c r="K22">
        <f t="shared" si="21"/>
        <v>18.5902851648343</v>
      </c>
      <c r="L22">
        <f t="shared" si="21"/>
        <v>21.8938592307686</v>
      </c>
      <c r="M22">
        <f t="shared" si="21"/>
        <v>25.1974332967029</v>
      </c>
      <c r="N22">
        <f t="shared" si="21"/>
        <v>28.5010073626372</v>
      </c>
      <c r="O22">
        <f t="shared" si="21"/>
        <v>31.8045814285706</v>
      </c>
      <c r="P22">
        <f t="shared" si="21"/>
        <v>35.1081554945049</v>
      </c>
      <c r="Q22">
        <f t="shared" si="21"/>
        <v>38.4117295604392</v>
      </c>
      <c r="R22">
        <f t="shared" si="21"/>
        <v>41.7153036263735</v>
      </c>
    </row>
    <row r="23" spans="1:18">
      <c r="A23">
        <v>1.25489500616416e-9</v>
      </c>
      <c r="B23">
        <v>799.142281058934</v>
      </c>
      <c r="C23">
        <v>38.6971914285716</v>
      </c>
      <c r="D23">
        <v>-77743.1832159344</v>
      </c>
      <c r="E23" s="3" t="s">
        <v>39</v>
      </c>
      <c r="F23">
        <f t="shared" si="1"/>
        <v>115.565938351632</v>
      </c>
      <c r="G23">
        <f t="shared" ref="G23:R23" si="22">$C23*G$1+$D23</f>
        <v>154.263129780215</v>
      </c>
      <c r="H23">
        <f t="shared" si="22"/>
        <v>192.960321208782</v>
      </c>
      <c r="I23">
        <f t="shared" si="22"/>
        <v>231.65751263735</v>
      </c>
      <c r="J23">
        <f t="shared" si="22"/>
        <v>270.354704065932</v>
      </c>
      <c r="K23">
        <f t="shared" si="22"/>
        <v>309.0518954945</v>
      </c>
      <c r="L23">
        <f t="shared" si="22"/>
        <v>347.749086923068</v>
      </c>
      <c r="M23">
        <f t="shared" si="22"/>
        <v>386.446278351636</v>
      </c>
      <c r="N23">
        <f t="shared" si="22"/>
        <v>425.143469780218</v>
      </c>
      <c r="O23">
        <f t="shared" si="22"/>
        <v>463.840661208786</v>
      </c>
      <c r="P23">
        <f t="shared" si="22"/>
        <v>502.537852637353</v>
      </c>
      <c r="Q23">
        <f t="shared" si="22"/>
        <v>541.235044065921</v>
      </c>
      <c r="R23">
        <f t="shared" si="22"/>
        <v>579.932235494503</v>
      </c>
    </row>
    <row r="24" spans="1:18">
      <c r="A24">
        <v>2.61757796803759e-8</v>
      </c>
      <c r="B24">
        <v>2045.84700695685</v>
      </c>
      <c r="C24">
        <v>46.4582609340662</v>
      </c>
      <c r="D24">
        <v>-93351.6375334071</v>
      </c>
      <c r="E24" s="3" t="s">
        <v>40</v>
      </c>
      <c r="F24">
        <f t="shared" si="1"/>
        <v>122.38346593405</v>
      </c>
      <c r="G24">
        <f t="shared" ref="G24:R24" si="23">$C24*G$1+$D24</f>
        <v>168.841726868122</v>
      </c>
      <c r="H24">
        <f t="shared" si="23"/>
        <v>215.29998780218</v>
      </c>
      <c r="I24">
        <f t="shared" si="23"/>
        <v>261.758248736252</v>
      </c>
      <c r="J24">
        <f t="shared" si="23"/>
        <v>308.216509670325</v>
      </c>
      <c r="K24">
        <f t="shared" si="23"/>
        <v>354.674770604383</v>
      </c>
      <c r="L24">
        <f t="shared" si="23"/>
        <v>401.133031538455</v>
      </c>
      <c r="M24">
        <f t="shared" si="23"/>
        <v>447.591292472513</v>
      </c>
      <c r="N24">
        <f t="shared" si="23"/>
        <v>494.049553406585</v>
      </c>
      <c r="O24">
        <f t="shared" si="23"/>
        <v>540.507814340643</v>
      </c>
      <c r="P24">
        <f t="shared" si="23"/>
        <v>586.966075274715</v>
      </c>
      <c r="Q24">
        <f t="shared" si="23"/>
        <v>633.424336208787</v>
      </c>
      <c r="R24">
        <f t="shared" si="23"/>
        <v>679.882597142845</v>
      </c>
    </row>
    <row r="25" spans="1:18">
      <c r="A25">
        <v>4.88283736545233e-6</v>
      </c>
      <c r="B25">
        <v>130.970610037794</v>
      </c>
      <c r="C25">
        <v>6.996491978022</v>
      </c>
      <c r="D25">
        <v>-14045.8630924176</v>
      </c>
      <c r="E25" s="3" t="s">
        <v>41</v>
      </c>
      <c r="F25">
        <f t="shared" si="1"/>
        <v>31.0787673626346</v>
      </c>
      <c r="G25">
        <f t="shared" ref="G25:R25" si="24">$C25*G$1+$D25</f>
        <v>38.0752593406578</v>
      </c>
      <c r="H25">
        <f t="shared" si="24"/>
        <v>45.0717513186792</v>
      </c>
      <c r="I25">
        <f t="shared" si="24"/>
        <v>52.0682432967005</v>
      </c>
      <c r="J25">
        <f t="shared" si="24"/>
        <v>59.0647352747237</v>
      </c>
      <c r="K25">
        <f t="shared" si="24"/>
        <v>66.0612272527451</v>
      </c>
      <c r="L25">
        <f t="shared" si="24"/>
        <v>73.0577192307665</v>
      </c>
      <c r="M25">
        <f t="shared" si="24"/>
        <v>80.0542112087896</v>
      </c>
      <c r="N25">
        <f t="shared" si="24"/>
        <v>87.050703186811</v>
      </c>
      <c r="O25">
        <f t="shared" si="24"/>
        <v>94.0471951648342</v>
      </c>
      <c r="P25">
        <f t="shared" si="24"/>
        <v>101.043687142856</v>
      </c>
      <c r="Q25">
        <f t="shared" si="24"/>
        <v>108.040179120877</v>
      </c>
      <c r="R25">
        <f t="shared" si="24"/>
        <v>115.0366710989</v>
      </c>
    </row>
    <row r="26" spans="1:18">
      <c r="A26">
        <v>2.94225263592455e-9</v>
      </c>
      <c r="B26">
        <v>98.7798030650472</v>
      </c>
      <c r="C26">
        <v>12.559573956044</v>
      </c>
      <c r="D26">
        <v>-25236.5649686815</v>
      </c>
      <c r="E26" s="3" t="s">
        <v>42</v>
      </c>
      <c r="F26">
        <f t="shared" si="1"/>
        <v>33.2978308791207</v>
      </c>
      <c r="G26">
        <f t="shared" ref="G26:R26" si="25">$C26*G$1+$D26</f>
        <v>45.857404835162</v>
      </c>
      <c r="H26">
        <f t="shared" si="25"/>
        <v>58.4169787912069</v>
      </c>
      <c r="I26">
        <f t="shared" si="25"/>
        <v>70.9765527472518</v>
      </c>
      <c r="J26">
        <f t="shared" si="25"/>
        <v>83.5361267032968</v>
      </c>
      <c r="K26">
        <f t="shared" si="25"/>
        <v>96.095700659338</v>
      </c>
      <c r="L26">
        <f t="shared" si="25"/>
        <v>108.655274615383</v>
      </c>
      <c r="M26">
        <f t="shared" si="25"/>
        <v>121.214848571428</v>
      </c>
      <c r="N26">
        <f t="shared" si="25"/>
        <v>133.774422527473</v>
      </c>
      <c r="O26">
        <f t="shared" si="25"/>
        <v>146.333996483518</v>
      </c>
      <c r="P26">
        <f t="shared" si="25"/>
        <v>158.893570439559</v>
      </c>
      <c r="Q26">
        <f t="shared" si="25"/>
        <v>171.453144395604</v>
      </c>
      <c r="R26">
        <f t="shared" si="25"/>
        <v>184.012718351649</v>
      </c>
    </row>
    <row r="27" spans="1:18">
      <c r="A27">
        <v>0.000107717847527372</v>
      </c>
      <c r="B27">
        <v>0.10456819465555</v>
      </c>
      <c r="C27">
        <v>0.140701208791209</v>
      </c>
      <c r="D27">
        <v>-283.170986263737</v>
      </c>
      <c r="E27" s="3" t="s">
        <v>43</v>
      </c>
      <c r="F27">
        <f t="shared" si="1"/>
        <v>-0.080154175824191</v>
      </c>
      <c r="G27">
        <f t="shared" ref="G27:R27" si="26">$C27*G$1+$D27</f>
        <v>0.0605470329670084</v>
      </c>
      <c r="H27">
        <f t="shared" si="26"/>
        <v>0.201248241758208</v>
      </c>
      <c r="I27">
        <f t="shared" si="26"/>
        <v>0.341949450549407</v>
      </c>
      <c r="J27">
        <f t="shared" si="26"/>
        <v>0.482650659340663</v>
      </c>
      <c r="K27">
        <f t="shared" si="26"/>
        <v>0.623351868131863</v>
      </c>
      <c r="L27">
        <f t="shared" si="26"/>
        <v>0.764053076923062</v>
      </c>
      <c r="M27">
        <f t="shared" si="26"/>
        <v>0.904754285714262</v>
      </c>
      <c r="N27">
        <f t="shared" si="26"/>
        <v>1.04545549450546</v>
      </c>
      <c r="O27">
        <f t="shared" si="26"/>
        <v>1.18615670329666</v>
      </c>
      <c r="P27">
        <f t="shared" si="26"/>
        <v>1.32685791208792</v>
      </c>
      <c r="Q27">
        <f t="shared" si="26"/>
        <v>1.46755912087912</v>
      </c>
      <c r="R27">
        <f t="shared" si="26"/>
        <v>1.60826032967032</v>
      </c>
    </row>
    <row r="28" spans="1:18">
      <c r="A28">
        <v>4.29298961560472e-7</v>
      </c>
      <c r="B28">
        <v>1034.26884208716</v>
      </c>
      <c r="C28">
        <v>25.1647132417584</v>
      </c>
      <c r="D28">
        <v>-50521.4402326377</v>
      </c>
      <c r="E28" s="3" t="s">
        <v>44</v>
      </c>
      <c r="F28">
        <f t="shared" si="1"/>
        <v>109.962809780212</v>
      </c>
      <c r="G28">
        <f t="shared" ref="G28:R28" si="27">$C28*G$1+$D28</f>
        <v>135.127523021969</v>
      </c>
      <c r="H28">
        <f t="shared" si="27"/>
        <v>160.292236263725</v>
      </c>
      <c r="I28">
        <f t="shared" si="27"/>
        <v>185.456949505489</v>
      </c>
      <c r="J28">
        <f t="shared" si="27"/>
        <v>210.621662747246</v>
      </c>
      <c r="K28">
        <f t="shared" si="27"/>
        <v>235.786375989002</v>
      </c>
      <c r="L28">
        <f t="shared" si="27"/>
        <v>260.951089230759</v>
      </c>
      <c r="M28">
        <f t="shared" si="27"/>
        <v>286.115802472523</v>
      </c>
      <c r="N28">
        <f t="shared" si="27"/>
        <v>311.280515714279</v>
      </c>
      <c r="O28">
        <f t="shared" si="27"/>
        <v>336.445228956036</v>
      </c>
      <c r="P28">
        <f t="shared" si="27"/>
        <v>361.609942197792</v>
      </c>
      <c r="Q28">
        <f t="shared" si="27"/>
        <v>386.774655439556</v>
      </c>
      <c r="R28">
        <f t="shared" si="27"/>
        <v>411.939368681313</v>
      </c>
    </row>
    <row r="29" spans="1:18">
      <c r="A29">
        <v>0.000577489501886112</v>
      </c>
      <c r="B29">
        <v>72.6132457448586</v>
      </c>
      <c r="C29">
        <v>3.01510384615386</v>
      </c>
      <c r="D29">
        <v>-6034.94813307695</v>
      </c>
      <c r="E29" s="3" t="s">
        <v>45</v>
      </c>
      <c r="F29">
        <f t="shared" si="1"/>
        <v>31.4408053846146</v>
      </c>
      <c r="G29">
        <f t="shared" ref="G29:R29" si="28">$C29*G$1+$D29</f>
        <v>34.4559092307682</v>
      </c>
      <c r="H29">
        <f t="shared" si="28"/>
        <v>37.4710130769226</v>
      </c>
      <c r="I29">
        <f t="shared" si="28"/>
        <v>40.4861169230762</v>
      </c>
      <c r="J29">
        <f t="shared" si="28"/>
        <v>43.5012207692298</v>
      </c>
      <c r="K29">
        <f t="shared" si="28"/>
        <v>46.5163246153834</v>
      </c>
      <c r="L29">
        <f t="shared" si="28"/>
        <v>49.5314284615379</v>
      </c>
      <c r="M29">
        <f t="shared" si="28"/>
        <v>52.5465323076915</v>
      </c>
      <c r="N29">
        <f t="shared" si="28"/>
        <v>55.561636153845</v>
      </c>
      <c r="O29">
        <f t="shared" si="28"/>
        <v>58.5767399999995</v>
      </c>
      <c r="P29">
        <f t="shared" si="28"/>
        <v>61.5918438461531</v>
      </c>
      <c r="Q29">
        <f t="shared" si="28"/>
        <v>64.6069476923067</v>
      </c>
      <c r="R29">
        <f t="shared" si="28"/>
        <v>67.6220515384612</v>
      </c>
    </row>
    <row r="30" spans="1:18">
      <c r="A30">
        <v>0.000231619186278323</v>
      </c>
      <c r="B30">
        <v>9.6088547625313</v>
      </c>
      <c r="C30">
        <v>1.23070648351649</v>
      </c>
      <c r="D30">
        <v>-2471.1144645055</v>
      </c>
      <c r="E30" s="3" t="s">
        <v>46</v>
      </c>
      <c r="F30">
        <f t="shared" si="1"/>
        <v>5.06698032967006</v>
      </c>
      <c r="G30">
        <f t="shared" ref="G30:R30" si="29">$C30*G$1+$D30</f>
        <v>6.29768681318683</v>
      </c>
      <c r="H30">
        <f t="shared" si="29"/>
        <v>7.52839329670314</v>
      </c>
      <c r="I30">
        <f t="shared" si="29"/>
        <v>8.75909978021946</v>
      </c>
      <c r="J30">
        <f t="shared" si="29"/>
        <v>9.98980626373623</v>
      </c>
      <c r="K30">
        <f t="shared" si="29"/>
        <v>11.2205127472525</v>
      </c>
      <c r="L30">
        <f t="shared" si="29"/>
        <v>12.4512192307693</v>
      </c>
      <c r="M30">
        <f t="shared" si="29"/>
        <v>13.6819257142856</v>
      </c>
      <c r="N30">
        <f t="shared" si="29"/>
        <v>14.9126321978019</v>
      </c>
      <c r="O30">
        <f t="shared" si="29"/>
        <v>16.1433386813187</v>
      </c>
      <c r="P30">
        <f t="shared" si="29"/>
        <v>17.374045164835</v>
      </c>
      <c r="Q30">
        <f t="shared" si="29"/>
        <v>18.6047516483513</v>
      </c>
      <c r="R30">
        <f t="shared" si="29"/>
        <v>19.8354581318681</v>
      </c>
    </row>
    <row r="31" spans="1:18">
      <c r="A31">
        <v>1.28099385362631e-5</v>
      </c>
      <c r="B31">
        <v>144.101775326076</v>
      </c>
      <c r="C31">
        <v>6.62703554945059</v>
      </c>
      <c r="D31">
        <v>-13334.4452341759</v>
      </c>
      <c r="E31" s="3" t="s">
        <v>47</v>
      </c>
      <c r="F31">
        <f t="shared" si="1"/>
        <v>-0.849708681320408</v>
      </c>
      <c r="G31">
        <f t="shared" ref="G31:R31" si="30">$C31*G$1+$D31</f>
        <v>5.77732686813033</v>
      </c>
      <c r="H31">
        <f t="shared" si="30"/>
        <v>12.4043624175811</v>
      </c>
      <c r="I31">
        <f t="shared" si="30"/>
        <v>19.0313979670318</v>
      </c>
      <c r="J31">
        <f t="shared" si="30"/>
        <v>25.6584335164825</v>
      </c>
      <c r="K31">
        <f t="shared" si="30"/>
        <v>32.2854690659315</v>
      </c>
      <c r="L31">
        <f t="shared" si="30"/>
        <v>38.9125046153822</v>
      </c>
      <c r="M31">
        <f t="shared" si="30"/>
        <v>45.5395401648329</v>
      </c>
      <c r="N31">
        <f t="shared" si="30"/>
        <v>52.1665757142837</v>
      </c>
      <c r="O31">
        <f t="shared" si="30"/>
        <v>58.7936112637344</v>
      </c>
      <c r="P31">
        <f t="shared" si="30"/>
        <v>65.4206468131852</v>
      </c>
      <c r="Q31">
        <f t="shared" si="30"/>
        <v>72.0476823626359</v>
      </c>
      <c r="R31">
        <f t="shared" si="30"/>
        <v>78.6747179120866</v>
      </c>
    </row>
    <row r="32" spans="1:18">
      <c r="A32">
        <v>0.000670222205406818</v>
      </c>
      <c r="B32">
        <v>1003.45971728882</v>
      </c>
      <c r="C32">
        <v>10.991930879121</v>
      </c>
      <c r="D32">
        <v>-22112.6356986815</v>
      </c>
      <c r="E32" s="3" t="s">
        <v>48</v>
      </c>
      <c r="F32">
        <f t="shared" si="1"/>
        <v>3.12923010989107</v>
      </c>
      <c r="G32">
        <f t="shared" ref="G32:R32" si="31">$C32*G$1+$D32</f>
        <v>14.1211609890124</v>
      </c>
      <c r="H32">
        <f t="shared" si="31"/>
        <v>25.1130918681301</v>
      </c>
      <c r="I32">
        <f t="shared" si="31"/>
        <v>36.1050227472515</v>
      </c>
      <c r="J32">
        <f t="shared" si="31"/>
        <v>47.0969536263729</v>
      </c>
      <c r="K32">
        <f t="shared" si="31"/>
        <v>58.0888845054942</v>
      </c>
      <c r="L32">
        <f t="shared" si="31"/>
        <v>69.0808153846156</v>
      </c>
      <c r="M32">
        <f t="shared" si="31"/>
        <v>80.0727462637369</v>
      </c>
      <c r="N32">
        <f t="shared" si="31"/>
        <v>91.0646771428583</v>
      </c>
      <c r="O32">
        <f t="shared" si="31"/>
        <v>102.05660802198</v>
      </c>
      <c r="P32">
        <f t="shared" si="31"/>
        <v>113.048538901101</v>
      </c>
      <c r="Q32">
        <f t="shared" si="31"/>
        <v>124.040469780222</v>
      </c>
      <c r="R32">
        <f t="shared" si="31"/>
        <v>135.03240065934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赵文玉</cp:lastModifiedBy>
  <dcterms:created xsi:type="dcterms:W3CDTF">2026-01-13T13:44:00Z</dcterms:created>
  <dcterms:modified xsi:type="dcterms:W3CDTF">2026-01-14T02:54:46Z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BDE94B92479D45A1B3F801F06357E9A7_12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