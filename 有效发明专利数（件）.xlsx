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<sst xmlns="http://schemas.openxmlformats.org/spreadsheetml/2006/main" count="36" uniqueCount="36">
  <si>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r>
      <rPr>
        <sz val="11"/>
        <rFont val="Calibri"/>
        <charset val="134"/>
      </rPr>
      <t>p</t>
    </r>
    <r>
      <rPr>
        <sz val="11"/>
        <rFont val="宋体"/>
        <charset val="134"/>
      </rPr>
      <t>值</t>
    </r>
  </si>
  <si>
    <t>MSE</t>
  </si>
  <si>
    <t>斜率</t>
  </si>
  <si>
    <t>常数</t>
  </si>
  <si>
    <t>地区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</si>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</sst>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sz val="11"/>
      <name val="宋体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ont="1"/>
    <xf numFmtId="0" fontId="1" fillId="0" borderId="0" xfId="0" applyFont="1"/>
    <xf numFmtId="0" fontId="2" fillId="0" borderId="0" xfId="0" applyNumberFormat="1" applyFont="1" applyFill="1" applyAlignment="1">
      <alignment horizontal="center" wrapText="1"/>
    </xf>
    <xf numFmtId="0" fontId="2" fillId="0" borderId="0" xfId="0" applyFont="1" applyFill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2"/>
  <sheetViews>
    <sheetView tabSelected="1" workbookViewId="0">
      <selection activeCell="A2" sqref="A2:D32"/>
    </sheetView>
  </sheetViews>
  <sheetFormatPr defaultColWidth="9" defaultRowHeight="14.4"/>
  <cols>
    <col min="1" max="1" width="15.712962962963" customWidth="1"/>
    <col min="2" max="3" width="11.712962962963" customWidth="1"/>
    <col min="4" max="4" width="12.3796296296296" customWidth="1"/>
    <col min="6" max="6" width="14.1111111111111"/>
    <col min="7" max="18" width="12.8888888888889"/>
  </cols>
  <sheetData>
    <row r="1" spans="1:18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3">
        <v>2012</v>
      </c>
      <c r="G1" s="3">
        <v>2013</v>
      </c>
      <c r="H1" s="3">
        <v>2014</v>
      </c>
      <c r="I1" s="3">
        <v>2015</v>
      </c>
      <c r="J1" s="3">
        <v>2016</v>
      </c>
      <c r="K1" s="3">
        <v>2017</v>
      </c>
      <c r="L1" s="3">
        <v>2018</v>
      </c>
      <c r="M1" s="3">
        <v>2019</v>
      </c>
      <c r="N1" s="3">
        <v>2020</v>
      </c>
      <c r="O1" s="3">
        <v>2021</v>
      </c>
      <c r="P1" s="3">
        <v>2022</v>
      </c>
      <c r="Q1" s="3">
        <v>2023</v>
      </c>
      <c r="R1" s="3">
        <v>2024</v>
      </c>
    </row>
    <row r="2" spans="1:18">
      <c r="A2">
        <v>1.95382620357179e-9</v>
      </c>
      <c r="B2">
        <v>0.276294206108889</v>
      </c>
      <c r="C2">
        <v>0.690290659340663</v>
      </c>
      <c r="D2">
        <v>-1388.33752747254</v>
      </c>
      <c r="E2" s="4" t="s">
        <v>5</v>
      </c>
      <c r="F2">
        <f>$C2*F$1+$D2</f>
        <v>0.52727912087903</v>
      </c>
      <c r="G2">
        <f t="shared" ref="G2:R2" si="0">$C2*G$1+$D2</f>
        <v>1.21756978021972</v>
      </c>
      <c r="H2">
        <f t="shared" si="0"/>
        <v>1.90786043956041</v>
      </c>
      <c r="I2">
        <f t="shared" si="0"/>
        <v>2.5981510989011</v>
      </c>
      <c r="J2">
        <f t="shared" si="0"/>
        <v>3.28844175824179</v>
      </c>
      <c r="K2">
        <f t="shared" si="0"/>
        <v>3.97873241758248</v>
      </c>
      <c r="L2">
        <f t="shared" si="0"/>
        <v>4.66902307692294</v>
      </c>
      <c r="M2">
        <f t="shared" si="0"/>
        <v>5.35931373626363</v>
      </c>
      <c r="N2">
        <f t="shared" si="0"/>
        <v>6.04960439560432</v>
      </c>
      <c r="O2">
        <f t="shared" si="0"/>
        <v>6.73989505494501</v>
      </c>
      <c r="P2">
        <f t="shared" si="0"/>
        <v>7.4301857142857</v>
      </c>
      <c r="Q2">
        <f t="shared" si="0"/>
        <v>8.12047637362639</v>
      </c>
      <c r="R2">
        <f t="shared" si="0"/>
        <v>8.81076703296708</v>
      </c>
    </row>
    <row r="3" spans="1:18">
      <c r="A3">
        <v>1.79733667303416e-7</v>
      </c>
      <c r="B3">
        <v>0.0496364134215789</v>
      </c>
      <c r="C3">
        <v>0.189937912087913</v>
      </c>
      <c r="D3">
        <v>-381.155214285716</v>
      </c>
      <c r="E3" s="4" t="s">
        <v>6</v>
      </c>
      <c r="F3">
        <f t="shared" ref="F3:R3" si="1">$C3*F$1+$D3</f>
        <v>0.999864835164772</v>
      </c>
      <c r="G3">
        <f t="shared" si="1"/>
        <v>1.18980274725271</v>
      </c>
      <c r="H3">
        <f t="shared" si="1"/>
        <v>1.3797406593406</v>
      </c>
      <c r="I3">
        <f t="shared" si="1"/>
        <v>1.56967857142854</v>
      </c>
      <c r="J3">
        <f t="shared" si="1"/>
        <v>1.75961648351642</v>
      </c>
      <c r="K3">
        <f t="shared" si="1"/>
        <v>1.94955439560437</v>
      </c>
      <c r="L3">
        <f t="shared" si="1"/>
        <v>2.13949230769225</v>
      </c>
      <c r="M3">
        <f t="shared" si="1"/>
        <v>2.32943021978019</v>
      </c>
      <c r="N3">
        <f t="shared" si="1"/>
        <v>2.51936813186808</v>
      </c>
      <c r="O3">
        <f t="shared" si="1"/>
        <v>2.70930604395602</v>
      </c>
      <c r="P3">
        <f t="shared" si="1"/>
        <v>2.8992439560439</v>
      </c>
      <c r="Q3">
        <f t="shared" si="1"/>
        <v>3.08918186813185</v>
      </c>
      <c r="R3">
        <f t="shared" si="1"/>
        <v>3.27911978021973</v>
      </c>
    </row>
    <row r="4" spans="1:18">
      <c r="A4">
        <v>2.60881325069156e-9</v>
      </c>
      <c r="B4">
        <v>0.0992094981019034</v>
      </c>
      <c r="C4">
        <v>0.402559340659343</v>
      </c>
      <c r="D4">
        <v>-810.184149450555</v>
      </c>
      <c r="E4" s="4" t="s">
        <v>7</v>
      </c>
      <c r="F4">
        <f t="shared" ref="F4:F32" si="2">$C4*F$1+$D4</f>
        <v>-0.234756043956168</v>
      </c>
      <c r="G4">
        <f t="shared" ref="G4:G32" si="3">$C4*G$1+$D4</f>
        <v>0.167803296703141</v>
      </c>
      <c r="H4">
        <f t="shared" ref="H4:H32" si="4">$C4*H$1+$D4</f>
        <v>0.570362637362564</v>
      </c>
      <c r="I4">
        <f t="shared" ref="I4:I32" si="5">$C4*I$1+$D4</f>
        <v>0.972921978021873</v>
      </c>
      <c r="J4">
        <f t="shared" ref="J4:J32" si="6">$C4*J$1+$D4</f>
        <v>1.37548131868118</v>
      </c>
      <c r="K4">
        <f t="shared" ref="K4:K32" si="7">$C4*K$1+$D4</f>
        <v>1.7780406593406</v>
      </c>
      <c r="L4">
        <f t="shared" ref="L4:L32" si="8">$C4*L$1+$D4</f>
        <v>2.18059999999991</v>
      </c>
      <c r="M4">
        <f t="shared" ref="M4:M32" si="9">$C4*M$1+$D4</f>
        <v>2.58315934065922</v>
      </c>
      <c r="N4">
        <f t="shared" ref="N4:N32" si="10">$C4*N$1+$D4</f>
        <v>2.98571868131864</v>
      </c>
      <c r="O4">
        <f t="shared" ref="O4:O32" si="11">$C4*O$1+$D4</f>
        <v>3.38827802197795</v>
      </c>
      <c r="P4">
        <f t="shared" ref="P4:P32" si="12">$C4*P$1+$D4</f>
        <v>3.79083736263726</v>
      </c>
      <c r="Q4">
        <f t="shared" ref="Q4:Q32" si="13">$C4*Q$1+$D4</f>
        <v>4.19339670329657</v>
      </c>
      <c r="R4">
        <f t="shared" ref="R4:R32" si="14">$C4*R$1+$D4</f>
        <v>4.59595604395599</v>
      </c>
    </row>
    <row r="5" spans="1:18">
      <c r="A5">
        <v>8.98247010098921e-10</v>
      </c>
      <c r="B5">
        <v>0.00693125410589368</v>
      </c>
      <c r="C5">
        <v>0.117585714285715</v>
      </c>
      <c r="D5">
        <v>-236.458625274727</v>
      </c>
      <c r="E5" s="4" t="s">
        <v>8</v>
      </c>
      <c r="F5">
        <f t="shared" si="2"/>
        <v>0.123831868131845</v>
      </c>
      <c r="G5">
        <f t="shared" si="3"/>
        <v>0.241417582417569</v>
      </c>
      <c r="H5">
        <f t="shared" si="4"/>
        <v>0.359003296703293</v>
      </c>
      <c r="I5">
        <f t="shared" si="5"/>
        <v>0.476589010988988</v>
      </c>
      <c r="J5">
        <f t="shared" si="6"/>
        <v>0.594174725274712</v>
      </c>
      <c r="K5">
        <f t="shared" si="7"/>
        <v>0.711760439560436</v>
      </c>
      <c r="L5">
        <f t="shared" si="8"/>
        <v>0.829346153846132</v>
      </c>
      <c r="M5">
        <f t="shared" si="9"/>
        <v>0.946931868131855</v>
      </c>
      <c r="N5">
        <f t="shared" si="10"/>
        <v>1.06451758241758</v>
      </c>
      <c r="O5">
        <f t="shared" si="11"/>
        <v>1.1821032967033</v>
      </c>
      <c r="P5">
        <f t="shared" si="12"/>
        <v>1.299689010989</v>
      </c>
      <c r="Q5">
        <f t="shared" si="13"/>
        <v>1.41727472527472</v>
      </c>
      <c r="R5">
        <f t="shared" si="14"/>
        <v>1.53486043956045</v>
      </c>
    </row>
    <row r="6" spans="1:18">
      <c r="A6">
        <v>6.75935900756373e-5</v>
      </c>
      <c r="B6">
        <v>0.0501173542457561</v>
      </c>
      <c r="C6">
        <v>0.102808791208792</v>
      </c>
      <c r="D6">
        <v>-206.927302197804</v>
      </c>
      <c r="E6" s="4" t="s">
        <v>9</v>
      </c>
      <c r="F6">
        <f t="shared" si="2"/>
        <v>-0.076014285714308</v>
      </c>
      <c r="G6">
        <f t="shared" si="3"/>
        <v>0.0267945054944789</v>
      </c>
      <c r="H6">
        <f t="shared" si="4"/>
        <v>0.129603296703294</v>
      </c>
      <c r="I6">
        <f t="shared" si="5"/>
        <v>0.232412087912081</v>
      </c>
      <c r="J6">
        <f t="shared" si="6"/>
        <v>0.335220879120868</v>
      </c>
      <c r="K6">
        <f t="shared" si="7"/>
        <v>0.438029670329655</v>
      </c>
      <c r="L6">
        <f t="shared" si="8"/>
        <v>0.540838461538442</v>
      </c>
      <c r="M6">
        <f t="shared" si="9"/>
        <v>0.643647252747257</v>
      </c>
      <c r="N6">
        <f t="shared" si="10"/>
        <v>0.746456043956044</v>
      </c>
      <c r="O6">
        <f t="shared" si="11"/>
        <v>0.849264835164831</v>
      </c>
      <c r="P6">
        <f t="shared" si="12"/>
        <v>0.952073626373618</v>
      </c>
      <c r="Q6">
        <f t="shared" si="13"/>
        <v>1.05488241758241</v>
      </c>
      <c r="R6">
        <f t="shared" si="14"/>
        <v>1.15769120879119</v>
      </c>
    </row>
    <row r="7" spans="1:18">
      <c r="A7">
        <v>2.99388993983857e-10</v>
      </c>
      <c r="B7">
        <v>0.0404040671928072</v>
      </c>
      <c r="C7">
        <v>0.314509890109892</v>
      </c>
      <c r="D7">
        <v>-632.499573626377</v>
      </c>
      <c r="E7" s="4" t="s">
        <v>10</v>
      </c>
      <c r="F7">
        <f t="shared" si="2"/>
        <v>0.294325274725225</v>
      </c>
      <c r="G7">
        <f t="shared" si="3"/>
        <v>0.608835164835114</v>
      </c>
      <c r="H7">
        <f t="shared" si="4"/>
        <v>0.923345054945003</v>
      </c>
      <c r="I7">
        <f t="shared" si="5"/>
        <v>1.23785494505489</v>
      </c>
      <c r="J7">
        <f t="shared" si="6"/>
        <v>1.55236483516478</v>
      </c>
      <c r="K7">
        <f t="shared" si="7"/>
        <v>1.86687472527467</v>
      </c>
      <c r="L7">
        <f t="shared" si="8"/>
        <v>2.18138461538456</v>
      </c>
      <c r="M7">
        <f t="shared" si="9"/>
        <v>2.49589450549445</v>
      </c>
      <c r="N7">
        <f t="shared" si="10"/>
        <v>2.81040439560434</v>
      </c>
      <c r="O7">
        <f t="shared" si="11"/>
        <v>3.12491428571423</v>
      </c>
      <c r="P7">
        <f t="shared" si="12"/>
        <v>3.43942417582411</v>
      </c>
      <c r="Q7">
        <f t="shared" si="13"/>
        <v>3.753934065934</v>
      </c>
      <c r="R7">
        <f t="shared" si="14"/>
        <v>4.06844395604389</v>
      </c>
    </row>
    <row r="8" spans="1:18">
      <c r="A8">
        <v>0.000165940641429015</v>
      </c>
      <c r="B8">
        <v>0.0601369008541469</v>
      </c>
      <c r="C8">
        <v>0.101374175824177</v>
      </c>
      <c r="D8">
        <v>-203.964748351651</v>
      </c>
      <c r="E8" s="4" t="s">
        <v>11</v>
      </c>
      <c r="F8">
        <f t="shared" si="2"/>
        <v>9.34065933790862e-5</v>
      </c>
      <c r="G8">
        <f t="shared" si="3"/>
        <v>0.10146758241757</v>
      </c>
      <c r="H8">
        <f t="shared" si="4"/>
        <v>0.202841758241732</v>
      </c>
      <c r="I8">
        <f t="shared" si="5"/>
        <v>0.304215934065923</v>
      </c>
      <c r="J8">
        <f t="shared" si="6"/>
        <v>0.405590109890085</v>
      </c>
      <c r="K8">
        <f t="shared" si="7"/>
        <v>0.506964285714275</v>
      </c>
      <c r="L8">
        <f t="shared" si="8"/>
        <v>0.608338461538438</v>
      </c>
      <c r="M8">
        <f t="shared" si="9"/>
        <v>0.709712637362628</v>
      </c>
      <c r="N8">
        <f t="shared" si="10"/>
        <v>0.81108681318679</v>
      </c>
      <c r="O8">
        <f t="shared" si="11"/>
        <v>0.912460989010981</v>
      </c>
      <c r="P8">
        <f t="shared" si="12"/>
        <v>1.01383516483514</v>
      </c>
      <c r="Q8">
        <f t="shared" si="13"/>
        <v>1.11520934065933</v>
      </c>
      <c r="R8">
        <f t="shared" si="14"/>
        <v>1.2165835164835</v>
      </c>
    </row>
    <row r="9" spans="1:18">
      <c r="A9">
        <v>4.39497399988692e-8</v>
      </c>
      <c r="B9">
        <v>0.00888312751248714</v>
      </c>
      <c r="C9">
        <v>0.0921120879120885</v>
      </c>
      <c r="D9">
        <v>-185.228601098902</v>
      </c>
      <c r="E9" s="4" t="s">
        <v>12</v>
      </c>
      <c r="F9">
        <f t="shared" si="2"/>
        <v>0.100919780219755</v>
      </c>
      <c r="G9">
        <f t="shared" si="3"/>
        <v>0.193031868131868</v>
      </c>
      <c r="H9">
        <f t="shared" si="4"/>
        <v>0.285143956043953</v>
      </c>
      <c r="I9">
        <f t="shared" si="5"/>
        <v>0.377256043956038</v>
      </c>
      <c r="J9">
        <f t="shared" si="6"/>
        <v>0.469368131868123</v>
      </c>
      <c r="K9">
        <f t="shared" si="7"/>
        <v>0.561480219780208</v>
      </c>
      <c r="L9">
        <f t="shared" si="8"/>
        <v>0.653592307692293</v>
      </c>
      <c r="M9">
        <f t="shared" si="9"/>
        <v>0.745704395604378</v>
      </c>
      <c r="N9">
        <f t="shared" si="10"/>
        <v>0.837816483516463</v>
      </c>
      <c r="O9">
        <f t="shared" si="11"/>
        <v>0.929928571428576</v>
      </c>
      <c r="P9">
        <f t="shared" si="12"/>
        <v>1.02204065934066</v>
      </c>
      <c r="Q9">
        <f t="shared" si="13"/>
        <v>1.11415274725275</v>
      </c>
      <c r="R9">
        <f t="shared" si="14"/>
        <v>1.20626483516483</v>
      </c>
    </row>
    <row r="10" spans="1:18">
      <c r="A10">
        <v>2.04779817291688e-9</v>
      </c>
      <c r="B10">
        <v>0.27891350604894</v>
      </c>
      <c r="C10">
        <v>0.690503846153851</v>
      </c>
      <c r="D10">
        <v>-1388.19106923078</v>
      </c>
      <c r="E10" s="4" t="s">
        <v>13</v>
      </c>
      <c r="F10">
        <f t="shared" si="2"/>
        <v>1.10266923076915</v>
      </c>
      <c r="G10">
        <f t="shared" si="3"/>
        <v>1.79317307692304</v>
      </c>
      <c r="H10">
        <f t="shared" si="4"/>
        <v>2.48367692307693</v>
      </c>
      <c r="I10">
        <f t="shared" si="5"/>
        <v>3.17418076923059</v>
      </c>
      <c r="J10">
        <f t="shared" si="6"/>
        <v>3.86468461538448</v>
      </c>
      <c r="K10">
        <f t="shared" si="7"/>
        <v>4.55518846153836</v>
      </c>
      <c r="L10">
        <f t="shared" si="8"/>
        <v>5.24569230769225</v>
      </c>
      <c r="M10">
        <f t="shared" si="9"/>
        <v>5.93619615384614</v>
      </c>
      <c r="N10">
        <f t="shared" si="10"/>
        <v>6.62670000000003</v>
      </c>
      <c r="O10">
        <f t="shared" si="11"/>
        <v>7.31720384615369</v>
      </c>
      <c r="P10">
        <f t="shared" si="12"/>
        <v>8.00770769230758</v>
      </c>
      <c r="Q10">
        <f t="shared" si="13"/>
        <v>8.69821153846146</v>
      </c>
      <c r="R10">
        <f t="shared" si="14"/>
        <v>9.38871538461535</v>
      </c>
    </row>
    <row r="11" spans="1:18">
      <c r="A11">
        <v>1.78022401578582e-9</v>
      </c>
      <c r="B11">
        <v>4.44779953222785</v>
      </c>
      <c r="C11">
        <v>2.79389450549452</v>
      </c>
      <c r="D11">
        <v>-5619.94161208795</v>
      </c>
      <c r="E11" s="4" t="s">
        <v>14</v>
      </c>
      <c r="F11">
        <f t="shared" si="2"/>
        <v>1.37413296703198</v>
      </c>
      <c r="G11">
        <f t="shared" si="3"/>
        <v>4.16802747252586</v>
      </c>
      <c r="H11">
        <f t="shared" si="4"/>
        <v>6.96192197802065</v>
      </c>
      <c r="I11">
        <f t="shared" si="5"/>
        <v>9.75581648351545</v>
      </c>
      <c r="J11">
        <f t="shared" si="6"/>
        <v>12.5497109890093</v>
      </c>
      <c r="K11">
        <f t="shared" si="7"/>
        <v>15.3436054945041</v>
      </c>
      <c r="L11">
        <f t="shared" si="8"/>
        <v>18.1374999999989</v>
      </c>
      <c r="M11">
        <f t="shared" si="9"/>
        <v>20.9313945054937</v>
      </c>
      <c r="N11">
        <f t="shared" si="10"/>
        <v>23.7252890109876</v>
      </c>
      <c r="O11">
        <f t="shared" si="11"/>
        <v>26.5191835164824</v>
      </c>
      <c r="P11">
        <f t="shared" si="12"/>
        <v>29.3130780219772</v>
      </c>
      <c r="Q11">
        <f t="shared" si="13"/>
        <v>32.106972527471</v>
      </c>
      <c r="R11">
        <f t="shared" si="14"/>
        <v>34.9008670329658</v>
      </c>
    </row>
    <row r="12" spans="1:18">
      <c r="A12">
        <v>1.00907624021658e-6</v>
      </c>
      <c r="B12">
        <v>4.67990046849137</v>
      </c>
      <c r="C12">
        <v>1.55425824175825</v>
      </c>
      <c r="D12">
        <v>-3128.15269340662</v>
      </c>
      <c r="E12" s="4" t="s">
        <v>15</v>
      </c>
      <c r="F12">
        <f t="shared" si="2"/>
        <v>-0.985110989010991</v>
      </c>
      <c r="G12">
        <f t="shared" si="3"/>
        <v>0.569147252746916</v>
      </c>
      <c r="H12">
        <f t="shared" si="4"/>
        <v>2.12340549450528</v>
      </c>
      <c r="I12">
        <f t="shared" si="5"/>
        <v>3.67766373626364</v>
      </c>
      <c r="J12">
        <f t="shared" si="6"/>
        <v>5.231921978022</v>
      </c>
      <c r="K12">
        <f t="shared" si="7"/>
        <v>6.78618021977991</v>
      </c>
      <c r="L12">
        <f t="shared" si="8"/>
        <v>8.34043846153827</v>
      </c>
      <c r="M12">
        <f t="shared" si="9"/>
        <v>9.89469670329663</v>
      </c>
      <c r="N12">
        <f t="shared" si="10"/>
        <v>11.448954945055</v>
      </c>
      <c r="O12">
        <f t="shared" si="11"/>
        <v>13.0032131868129</v>
      </c>
      <c r="P12">
        <f t="shared" si="12"/>
        <v>14.5574714285713</v>
      </c>
      <c r="Q12">
        <f t="shared" si="13"/>
        <v>16.1117296703296</v>
      </c>
      <c r="R12">
        <f t="shared" si="14"/>
        <v>17.665987912088</v>
      </c>
    </row>
    <row r="13" spans="1:18">
      <c r="A13">
        <v>7.3778766271883e-11</v>
      </c>
      <c r="B13">
        <v>0.238035673661381</v>
      </c>
      <c r="C13">
        <v>0.869263186813192</v>
      </c>
      <c r="D13">
        <v>-1748.51619560441</v>
      </c>
      <c r="E13" s="4" t="s">
        <v>16</v>
      </c>
      <c r="F13">
        <f t="shared" si="2"/>
        <v>0.441336263736048</v>
      </c>
      <c r="G13">
        <f t="shared" si="3"/>
        <v>1.31059945054926</v>
      </c>
      <c r="H13">
        <f t="shared" si="4"/>
        <v>2.17986263736248</v>
      </c>
      <c r="I13">
        <f t="shared" si="5"/>
        <v>3.04912582417569</v>
      </c>
      <c r="J13">
        <f t="shared" si="6"/>
        <v>3.9183890109889</v>
      </c>
      <c r="K13">
        <f t="shared" si="7"/>
        <v>4.78765219780212</v>
      </c>
      <c r="L13">
        <f t="shared" si="8"/>
        <v>5.65691538461533</v>
      </c>
      <c r="M13">
        <f t="shared" si="9"/>
        <v>6.52617857142855</v>
      </c>
      <c r="N13">
        <f t="shared" si="10"/>
        <v>7.39544175824176</v>
      </c>
      <c r="O13">
        <f t="shared" si="11"/>
        <v>8.26470494505497</v>
      </c>
      <c r="P13">
        <f t="shared" si="12"/>
        <v>9.13396813186819</v>
      </c>
      <c r="Q13">
        <f t="shared" si="13"/>
        <v>10.0032313186812</v>
      </c>
      <c r="R13">
        <f t="shared" si="14"/>
        <v>10.8724945054944</v>
      </c>
    </row>
    <row r="14" spans="1:18">
      <c r="A14">
        <v>1.07000268412115e-9</v>
      </c>
      <c r="B14">
        <v>0.170464849505505</v>
      </c>
      <c r="C14">
        <v>0.573669780219784</v>
      </c>
      <c r="D14">
        <v>-1154.39785494506</v>
      </c>
      <c r="E14" s="4" t="s">
        <v>17</v>
      </c>
      <c r="F14">
        <f t="shared" si="2"/>
        <v>-0.174257142857186</v>
      </c>
      <c r="G14">
        <f t="shared" si="3"/>
        <v>0.399412637362502</v>
      </c>
      <c r="H14">
        <f t="shared" si="4"/>
        <v>0.973082417582418</v>
      </c>
      <c r="I14">
        <f t="shared" si="5"/>
        <v>1.54675219780211</v>
      </c>
      <c r="J14">
        <f t="shared" si="6"/>
        <v>2.12042197802202</v>
      </c>
      <c r="K14">
        <f t="shared" si="7"/>
        <v>2.69409175824171</v>
      </c>
      <c r="L14">
        <f t="shared" si="8"/>
        <v>3.2677615384614</v>
      </c>
      <c r="M14">
        <f t="shared" si="9"/>
        <v>3.84143131868132</v>
      </c>
      <c r="N14">
        <f t="shared" si="10"/>
        <v>4.415101098901</v>
      </c>
      <c r="O14">
        <f t="shared" si="11"/>
        <v>4.98877087912092</v>
      </c>
      <c r="P14">
        <f t="shared" si="12"/>
        <v>5.56244065934061</v>
      </c>
      <c r="Q14">
        <f t="shared" si="13"/>
        <v>6.1361104395603</v>
      </c>
      <c r="R14">
        <f t="shared" si="14"/>
        <v>6.70978021978021</v>
      </c>
    </row>
    <row r="15" spans="1:18">
      <c r="A15">
        <v>7.11775899186952e-10</v>
      </c>
      <c r="B15">
        <v>0.030822589505491</v>
      </c>
      <c r="C15">
        <v>0.253408241758243</v>
      </c>
      <c r="D15">
        <v>-510.011747252751</v>
      </c>
      <c r="E15" s="4" t="s">
        <v>18</v>
      </c>
      <c r="F15">
        <f t="shared" si="2"/>
        <v>-0.154364835164813</v>
      </c>
      <c r="G15">
        <f t="shared" si="3"/>
        <v>0.0990434065934096</v>
      </c>
      <c r="H15">
        <f t="shared" si="4"/>
        <v>0.352451648351689</v>
      </c>
      <c r="I15">
        <f t="shared" si="5"/>
        <v>0.605859890109912</v>
      </c>
      <c r="J15">
        <f t="shared" si="6"/>
        <v>0.859268131868134</v>
      </c>
      <c r="K15">
        <f t="shared" si="7"/>
        <v>1.11267637362641</v>
      </c>
      <c r="L15">
        <f t="shared" si="8"/>
        <v>1.36608461538464</v>
      </c>
      <c r="M15">
        <f t="shared" si="9"/>
        <v>1.61949285714286</v>
      </c>
      <c r="N15">
        <f t="shared" si="10"/>
        <v>1.87290109890114</v>
      </c>
      <c r="O15">
        <f t="shared" si="11"/>
        <v>2.12630934065942</v>
      </c>
      <c r="P15">
        <f t="shared" si="12"/>
        <v>2.37971758241758</v>
      </c>
      <c r="Q15">
        <f t="shared" si="13"/>
        <v>2.63312582417586</v>
      </c>
      <c r="R15">
        <f t="shared" si="14"/>
        <v>2.88653406593414</v>
      </c>
    </row>
    <row r="16" spans="1:18">
      <c r="A16">
        <v>2.05022650783351e-7</v>
      </c>
      <c r="B16">
        <v>2.43772124583441</v>
      </c>
      <c r="C16">
        <v>1.31402637362638</v>
      </c>
      <c r="D16">
        <v>-2644.1889835165</v>
      </c>
      <c r="E16" s="4" t="s">
        <v>19</v>
      </c>
      <c r="F16">
        <f t="shared" si="2"/>
        <v>-0.367919780219836</v>
      </c>
      <c r="G16">
        <f t="shared" si="3"/>
        <v>0.946106593406512</v>
      </c>
      <c r="H16">
        <f t="shared" si="4"/>
        <v>2.26013296703286</v>
      </c>
      <c r="I16">
        <f t="shared" si="5"/>
        <v>3.57415934065921</v>
      </c>
      <c r="J16">
        <f t="shared" si="6"/>
        <v>4.88818571428601</v>
      </c>
      <c r="K16">
        <f t="shared" si="7"/>
        <v>6.20221208791236</v>
      </c>
      <c r="L16">
        <f t="shared" si="8"/>
        <v>7.51623846153871</v>
      </c>
      <c r="M16">
        <f t="shared" si="9"/>
        <v>8.83026483516505</v>
      </c>
      <c r="N16">
        <f t="shared" si="10"/>
        <v>10.1442912087914</v>
      </c>
      <c r="O16">
        <f t="shared" si="11"/>
        <v>11.4583175824177</v>
      </c>
      <c r="P16">
        <f t="shared" si="12"/>
        <v>12.7723439560441</v>
      </c>
      <c r="Q16">
        <f t="shared" si="13"/>
        <v>14.0863703296704</v>
      </c>
      <c r="R16">
        <f t="shared" si="14"/>
        <v>15.4003967032968</v>
      </c>
    </row>
    <row r="17" spans="1:18">
      <c r="A17">
        <v>9.99547033061008e-8</v>
      </c>
      <c r="B17">
        <v>0.313976724455535</v>
      </c>
      <c r="C17">
        <v>0.505821978021982</v>
      </c>
      <c r="D17">
        <v>-1017.91036703297</v>
      </c>
      <c r="E17" s="4" t="s">
        <v>20</v>
      </c>
      <c r="F17">
        <f t="shared" si="2"/>
        <v>-0.19654725274745</v>
      </c>
      <c r="G17">
        <f t="shared" si="3"/>
        <v>0.309274725274577</v>
      </c>
      <c r="H17">
        <f t="shared" si="4"/>
        <v>0.815096703296604</v>
      </c>
      <c r="I17">
        <f t="shared" si="5"/>
        <v>1.32091868131852</v>
      </c>
      <c r="J17">
        <f t="shared" si="6"/>
        <v>1.82674065934054</v>
      </c>
      <c r="K17">
        <f t="shared" si="7"/>
        <v>2.33256263736246</v>
      </c>
      <c r="L17">
        <f t="shared" si="8"/>
        <v>2.83838461538448</v>
      </c>
      <c r="M17">
        <f t="shared" si="9"/>
        <v>3.34420659340651</v>
      </c>
      <c r="N17">
        <f t="shared" si="10"/>
        <v>3.85002857142842</v>
      </c>
      <c r="O17">
        <f t="shared" si="11"/>
        <v>4.35585054945045</v>
      </c>
      <c r="P17">
        <f t="shared" si="12"/>
        <v>4.86167252747236</v>
      </c>
      <c r="Q17">
        <f t="shared" si="13"/>
        <v>5.36749450549439</v>
      </c>
      <c r="R17">
        <f t="shared" si="14"/>
        <v>5.87331648351642</v>
      </c>
    </row>
    <row r="18" spans="1:18">
      <c r="A18">
        <v>5.10199428239711e-7</v>
      </c>
      <c r="B18">
        <v>1.22956895142867</v>
      </c>
      <c r="C18">
        <v>0.852918681318688</v>
      </c>
      <c r="D18">
        <v>-1716.8199912088</v>
      </c>
      <c r="E18" s="4" t="s">
        <v>21</v>
      </c>
      <c r="F18">
        <f t="shared" si="2"/>
        <v>-0.74760439560464</v>
      </c>
      <c r="G18">
        <f t="shared" si="3"/>
        <v>0.10531428571403</v>
      </c>
      <c r="H18">
        <f t="shared" si="4"/>
        <v>0.9582329670327</v>
      </c>
      <c r="I18">
        <f t="shared" si="5"/>
        <v>1.81115164835137</v>
      </c>
      <c r="J18">
        <f t="shared" si="6"/>
        <v>2.66407032967027</v>
      </c>
      <c r="K18">
        <f t="shared" si="7"/>
        <v>3.51698901098894</v>
      </c>
      <c r="L18">
        <f t="shared" si="8"/>
        <v>4.36990769230761</v>
      </c>
      <c r="M18">
        <f t="shared" si="9"/>
        <v>5.22282637362628</v>
      </c>
      <c r="N18">
        <f t="shared" si="10"/>
        <v>6.07574505494495</v>
      </c>
      <c r="O18">
        <f t="shared" si="11"/>
        <v>6.92866373626362</v>
      </c>
      <c r="P18">
        <f t="shared" si="12"/>
        <v>7.78158241758229</v>
      </c>
      <c r="Q18">
        <f t="shared" si="13"/>
        <v>8.63450109890096</v>
      </c>
      <c r="R18">
        <f t="shared" si="14"/>
        <v>9.48741978021962</v>
      </c>
    </row>
    <row r="19" spans="1:18">
      <c r="A19">
        <v>6.32870665256801e-10</v>
      </c>
      <c r="B19">
        <v>0.126634539000989</v>
      </c>
      <c r="C19">
        <v>0.519306593406596</v>
      </c>
      <c r="D19">
        <v>-1044.47252087913</v>
      </c>
      <c r="E19" s="4" t="s">
        <v>22</v>
      </c>
      <c r="F19">
        <f t="shared" si="2"/>
        <v>0.372345054944844</v>
      </c>
      <c r="G19">
        <f t="shared" si="3"/>
        <v>0.891651648351626</v>
      </c>
      <c r="H19">
        <f t="shared" si="4"/>
        <v>1.41095824175818</v>
      </c>
      <c r="I19">
        <f t="shared" si="5"/>
        <v>1.93026483516473</v>
      </c>
      <c r="J19">
        <f t="shared" si="6"/>
        <v>2.44957142857129</v>
      </c>
      <c r="K19">
        <f t="shared" si="7"/>
        <v>2.96887802197784</v>
      </c>
      <c r="L19">
        <f t="shared" si="8"/>
        <v>3.4881846153844</v>
      </c>
      <c r="M19">
        <f t="shared" si="9"/>
        <v>4.00749120879118</v>
      </c>
      <c r="N19">
        <f t="shared" si="10"/>
        <v>4.52679780219773</v>
      </c>
      <c r="O19">
        <f t="shared" si="11"/>
        <v>5.04610439560429</v>
      </c>
      <c r="P19">
        <f t="shared" si="12"/>
        <v>5.56541098901084</v>
      </c>
      <c r="Q19">
        <f t="shared" si="13"/>
        <v>6.0847175824174</v>
      </c>
      <c r="R19">
        <f t="shared" si="14"/>
        <v>6.60402417582418</v>
      </c>
    </row>
    <row r="20" spans="1:18">
      <c r="A20">
        <v>6.92420887212233e-11</v>
      </c>
      <c r="B20">
        <v>9.39547864616883</v>
      </c>
      <c r="C20">
        <v>5.49337197802201</v>
      </c>
      <c r="D20">
        <v>-11050.00939011</v>
      </c>
      <c r="E20" s="4" t="s">
        <v>23</v>
      </c>
      <c r="F20">
        <f t="shared" si="2"/>
        <v>2.65502967032808</v>
      </c>
      <c r="G20">
        <f t="shared" si="3"/>
        <v>8.14840164835005</v>
      </c>
      <c r="H20">
        <f t="shared" si="4"/>
        <v>13.641773626372</v>
      </c>
      <c r="I20">
        <f t="shared" si="5"/>
        <v>19.135145604394</v>
      </c>
      <c r="J20">
        <f t="shared" si="6"/>
        <v>24.628517582416</v>
      </c>
      <c r="K20">
        <f t="shared" si="7"/>
        <v>30.1218895604379</v>
      </c>
      <c r="L20">
        <f t="shared" si="8"/>
        <v>35.6152615384599</v>
      </c>
      <c r="M20">
        <f t="shared" si="9"/>
        <v>41.1086335164819</v>
      </c>
      <c r="N20">
        <f t="shared" si="10"/>
        <v>46.6020054945038</v>
      </c>
      <c r="O20">
        <f t="shared" si="11"/>
        <v>52.0953774725258</v>
      </c>
      <c r="P20">
        <f t="shared" si="12"/>
        <v>57.5887494505478</v>
      </c>
      <c r="Q20">
        <f t="shared" si="13"/>
        <v>63.0821214285697</v>
      </c>
      <c r="R20">
        <f t="shared" si="14"/>
        <v>68.5754934065917</v>
      </c>
    </row>
    <row r="21" spans="1:18">
      <c r="A21">
        <v>6.65455728741684e-8</v>
      </c>
      <c r="B21">
        <v>0.0210195750599404</v>
      </c>
      <c r="C21">
        <v>0.136136813186814</v>
      </c>
      <c r="D21">
        <v>-273.899542857144</v>
      </c>
      <c r="E21" s="4" t="s">
        <v>24</v>
      </c>
      <c r="F21">
        <f t="shared" si="2"/>
        <v>0.00772527472526008</v>
      </c>
      <c r="G21">
        <f t="shared" si="3"/>
        <v>0.143862087912055</v>
      </c>
      <c r="H21">
        <f t="shared" si="4"/>
        <v>0.279998901098907</v>
      </c>
      <c r="I21">
        <f t="shared" si="5"/>
        <v>0.416135714285701</v>
      </c>
      <c r="J21">
        <f t="shared" si="6"/>
        <v>0.552272527472496</v>
      </c>
      <c r="K21">
        <f t="shared" si="7"/>
        <v>0.688409340659348</v>
      </c>
      <c r="L21">
        <f t="shared" si="8"/>
        <v>0.824546153846143</v>
      </c>
      <c r="M21">
        <f t="shared" si="9"/>
        <v>0.960682967032938</v>
      </c>
      <c r="N21">
        <f t="shared" si="10"/>
        <v>1.09681978021979</v>
      </c>
      <c r="O21">
        <f t="shared" si="11"/>
        <v>1.23295659340658</v>
      </c>
      <c r="P21">
        <f t="shared" si="12"/>
        <v>1.36909340659338</v>
      </c>
      <c r="Q21">
        <f t="shared" si="13"/>
        <v>1.50523021978023</v>
      </c>
      <c r="R21">
        <f t="shared" si="14"/>
        <v>1.64136703296703</v>
      </c>
    </row>
    <row r="22" spans="1:18">
      <c r="A22">
        <v>1.26097063531609e-6</v>
      </c>
      <c r="B22">
        <v>0.000905353966034028</v>
      </c>
      <c r="C22">
        <v>0.0211373626373627</v>
      </c>
      <c r="D22">
        <v>-42.4777285714288</v>
      </c>
      <c r="E22" s="4" t="s">
        <v>25</v>
      </c>
      <c r="F22">
        <f t="shared" si="2"/>
        <v>0.0506450549450506</v>
      </c>
      <c r="G22">
        <f t="shared" si="3"/>
        <v>0.0717824175824191</v>
      </c>
      <c r="H22">
        <f t="shared" si="4"/>
        <v>0.0929197802197805</v>
      </c>
      <c r="I22">
        <f t="shared" si="5"/>
        <v>0.114057142857142</v>
      </c>
      <c r="J22">
        <f t="shared" si="6"/>
        <v>0.135194505494503</v>
      </c>
      <c r="K22">
        <f t="shared" si="7"/>
        <v>0.156331868131865</v>
      </c>
      <c r="L22">
        <f t="shared" si="8"/>
        <v>0.177469230769233</v>
      </c>
      <c r="M22">
        <f t="shared" si="9"/>
        <v>0.198606593406595</v>
      </c>
      <c r="N22">
        <f t="shared" si="10"/>
        <v>0.219743956043956</v>
      </c>
      <c r="O22">
        <f t="shared" si="11"/>
        <v>0.240881318681318</v>
      </c>
      <c r="P22">
        <f t="shared" si="12"/>
        <v>0.262018681318679</v>
      </c>
      <c r="Q22">
        <f t="shared" si="13"/>
        <v>0.283156043956041</v>
      </c>
      <c r="R22">
        <f t="shared" si="14"/>
        <v>0.304293406593409</v>
      </c>
    </row>
    <row r="23" spans="1:18">
      <c r="A23">
        <v>5.30839634593033e-10</v>
      </c>
      <c r="B23">
        <v>0.0317105984615387</v>
      </c>
      <c r="C23">
        <v>0.26416153846154</v>
      </c>
      <c r="D23">
        <v>-531.422238461541</v>
      </c>
      <c r="E23" s="4" t="s">
        <v>26</v>
      </c>
      <c r="F23">
        <f t="shared" si="2"/>
        <v>0.0707769230768918</v>
      </c>
      <c r="G23">
        <f t="shared" si="3"/>
        <v>0.3349384615384</v>
      </c>
      <c r="H23">
        <f t="shared" si="4"/>
        <v>0.599099999999908</v>
      </c>
      <c r="I23">
        <f t="shared" si="5"/>
        <v>0.863261538461529</v>
      </c>
      <c r="J23">
        <f t="shared" si="6"/>
        <v>1.12742307692304</v>
      </c>
      <c r="K23">
        <f t="shared" si="7"/>
        <v>1.39158461538455</v>
      </c>
      <c r="L23">
        <f t="shared" si="8"/>
        <v>1.65574615384617</v>
      </c>
      <c r="M23">
        <f t="shared" si="9"/>
        <v>1.91990769230767</v>
      </c>
      <c r="N23">
        <f t="shared" si="10"/>
        <v>2.18406923076918</v>
      </c>
      <c r="O23">
        <f t="shared" si="11"/>
        <v>2.44823076923069</v>
      </c>
      <c r="P23">
        <f t="shared" si="12"/>
        <v>2.71239230769231</v>
      </c>
      <c r="Q23">
        <f t="shared" si="13"/>
        <v>2.97655384615382</v>
      </c>
      <c r="R23">
        <f t="shared" si="14"/>
        <v>3.24071538461533</v>
      </c>
    </row>
    <row r="24" spans="1:18">
      <c r="A24">
        <v>6.63610700154846e-10</v>
      </c>
      <c r="B24">
        <v>0.14423647384613</v>
      </c>
      <c r="C24">
        <v>0.551776923076926</v>
      </c>
      <c r="D24">
        <v>-1109.86012307693</v>
      </c>
      <c r="E24" s="4" t="s">
        <v>27</v>
      </c>
      <c r="F24">
        <f t="shared" si="2"/>
        <v>0.315046153845969</v>
      </c>
      <c r="G24">
        <f t="shared" si="3"/>
        <v>0.866823076922856</v>
      </c>
      <c r="H24">
        <f t="shared" si="4"/>
        <v>1.41859999999974</v>
      </c>
      <c r="I24">
        <f t="shared" si="5"/>
        <v>1.97037692307663</v>
      </c>
      <c r="J24">
        <f t="shared" si="6"/>
        <v>2.52215384615351</v>
      </c>
      <c r="K24">
        <f t="shared" si="7"/>
        <v>3.07393076923063</v>
      </c>
      <c r="L24">
        <f t="shared" si="8"/>
        <v>3.62570769230751</v>
      </c>
      <c r="M24">
        <f t="shared" si="9"/>
        <v>4.1774846153844</v>
      </c>
      <c r="N24">
        <f t="shared" si="10"/>
        <v>4.72926153846129</v>
      </c>
      <c r="O24">
        <f t="shared" si="11"/>
        <v>5.28103846153817</v>
      </c>
      <c r="P24">
        <f t="shared" si="12"/>
        <v>5.83281538461506</v>
      </c>
      <c r="Q24">
        <f t="shared" si="13"/>
        <v>6.38459230769217</v>
      </c>
      <c r="R24">
        <f t="shared" si="14"/>
        <v>6.93636923076906</v>
      </c>
    </row>
    <row r="25" spans="1:18">
      <c r="A25">
        <v>2.32302218256094e-7</v>
      </c>
      <c r="B25">
        <v>0.0103508593156834</v>
      </c>
      <c r="C25">
        <v>0.0845818681318686</v>
      </c>
      <c r="D25">
        <v>-170.019163736265</v>
      </c>
      <c r="E25" s="4" t="s">
        <v>28</v>
      </c>
      <c r="F25">
        <f t="shared" si="2"/>
        <v>0.159554945054936</v>
      </c>
      <c r="G25">
        <f t="shared" si="3"/>
        <v>0.244136813186799</v>
      </c>
      <c r="H25">
        <f t="shared" si="4"/>
        <v>0.328718681318691</v>
      </c>
      <c r="I25">
        <f t="shared" si="5"/>
        <v>0.413300549450554</v>
      </c>
      <c r="J25">
        <f t="shared" si="6"/>
        <v>0.497882417582417</v>
      </c>
      <c r="K25">
        <f t="shared" si="7"/>
        <v>0.582464285714281</v>
      </c>
      <c r="L25">
        <f t="shared" si="8"/>
        <v>0.667046153846144</v>
      </c>
      <c r="M25">
        <f t="shared" si="9"/>
        <v>0.751628021978036</v>
      </c>
      <c r="N25">
        <f t="shared" si="10"/>
        <v>0.836209890109899</v>
      </c>
      <c r="O25">
        <f t="shared" si="11"/>
        <v>0.920791758241762</v>
      </c>
      <c r="P25">
        <f t="shared" si="12"/>
        <v>1.00537362637363</v>
      </c>
      <c r="Q25">
        <f t="shared" si="13"/>
        <v>1.08995549450549</v>
      </c>
      <c r="R25">
        <f t="shared" si="14"/>
        <v>1.17453736263738</v>
      </c>
    </row>
    <row r="26" spans="1:18">
      <c r="A26">
        <v>1.11709110412539e-9</v>
      </c>
      <c r="B26">
        <v>0.00796607550449498</v>
      </c>
      <c r="C26">
        <v>0.123514285714286</v>
      </c>
      <c r="D26">
        <v>-248.437459340661</v>
      </c>
      <c r="E26" s="4" t="s">
        <v>29</v>
      </c>
      <c r="F26">
        <f t="shared" si="2"/>
        <v>0.0732835164835137</v>
      </c>
      <c r="G26">
        <f t="shared" si="3"/>
        <v>0.196797802197779</v>
      </c>
      <c r="H26">
        <f t="shared" si="4"/>
        <v>0.320312087912072</v>
      </c>
      <c r="I26">
        <f t="shared" si="5"/>
        <v>0.443826373626365</v>
      </c>
      <c r="J26">
        <f t="shared" si="6"/>
        <v>0.567340659340658</v>
      </c>
      <c r="K26">
        <f t="shared" si="7"/>
        <v>0.690854945054923</v>
      </c>
      <c r="L26">
        <f t="shared" si="8"/>
        <v>0.814369230769216</v>
      </c>
      <c r="M26">
        <f t="shared" si="9"/>
        <v>0.93788351648351</v>
      </c>
      <c r="N26">
        <f t="shared" si="10"/>
        <v>1.0613978021978</v>
      </c>
      <c r="O26">
        <f t="shared" si="11"/>
        <v>1.18491208791207</v>
      </c>
      <c r="P26">
        <f t="shared" si="12"/>
        <v>1.30842637362636</v>
      </c>
      <c r="Q26">
        <f t="shared" si="13"/>
        <v>1.43194065934065</v>
      </c>
      <c r="R26">
        <f t="shared" si="14"/>
        <v>1.55545494505495</v>
      </c>
    </row>
    <row r="27" spans="1:18">
      <c r="A27">
        <v>4.44860403665001e-6</v>
      </c>
      <c r="B27">
        <v>1.37360439560447e-5</v>
      </c>
      <c r="C27">
        <v>0.0022879120879121</v>
      </c>
      <c r="D27">
        <v>-4.60188351648355</v>
      </c>
      <c r="E27" s="4" t="s">
        <v>30</v>
      </c>
      <c r="F27">
        <f t="shared" si="2"/>
        <v>0.00139560439560338</v>
      </c>
      <c r="G27">
        <f t="shared" si="3"/>
        <v>0.00368351648351606</v>
      </c>
      <c r="H27">
        <f t="shared" si="4"/>
        <v>0.00597142857142785</v>
      </c>
      <c r="I27">
        <f t="shared" si="5"/>
        <v>0.00825934065933964</v>
      </c>
      <c r="J27">
        <f t="shared" si="6"/>
        <v>0.0105472527472523</v>
      </c>
      <c r="K27">
        <f t="shared" si="7"/>
        <v>0.0128351648351641</v>
      </c>
      <c r="L27">
        <f t="shared" si="8"/>
        <v>0.0151230769230768</v>
      </c>
      <c r="M27">
        <f t="shared" si="9"/>
        <v>0.0174109890109886</v>
      </c>
      <c r="N27">
        <f t="shared" si="10"/>
        <v>0.0196989010989004</v>
      </c>
      <c r="O27">
        <f t="shared" si="11"/>
        <v>0.0219868131868131</v>
      </c>
      <c r="P27">
        <f t="shared" si="12"/>
        <v>0.0242747252747249</v>
      </c>
      <c r="Q27">
        <f t="shared" si="13"/>
        <v>0.0265626373626366</v>
      </c>
      <c r="R27">
        <f t="shared" si="14"/>
        <v>0.0288505494505493</v>
      </c>
    </row>
    <row r="28" spans="1:18">
      <c r="A28">
        <v>3.82531591316156e-8</v>
      </c>
      <c r="B28">
        <v>0.0629528960389645</v>
      </c>
      <c r="C28">
        <v>0.248506043956046</v>
      </c>
      <c r="D28">
        <v>-499.773119780223</v>
      </c>
      <c r="E28" s="4" t="s">
        <v>31</v>
      </c>
      <c r="F28">
        <f t="shared" si="2"/>
        <v>0.221040659340588</v>
      </c>
      <c r="G28">
        <f t="shared" si="3"/>
        <v>0.469546703296658</v>
      </c>
      <c r="H28">
        <f t="shared" si="4"/>
        <v>0.718052747252671</v>
      </c>
      <c r="I28">
        <f t="shared" si="5"/>
        <v>0.96655879120874</v>
      </c>
      <c r="J28">
        <f t="shared" si="6"/>
        <v>1.21506483516481</v>
      </c>
      <c r="K28">
        <f t="shared" si="7"/>
        <v>1.46357087912082</v>
      </c>
      <c r="L28">
        <f t="shared" si="8"/>
        <v>1.71207692307689</v>
      </c>
      <c r="M28">
        <f t="shared" si="9"/>
        <v>1.96058296703291</v>
      </c>
      <c r="N28">
        <f t="shared" si="10"/>
        <v>2.20908901098898</v>
      </c>
      <c r="O28">
        <f t="shared" si="11"/>
        <v>2.45759505494499</v>
      </c>
      <c r="P28">
        <f t="shared" si="12"/>
        <v>2.70610109890106</v>
      </c>
      <c r="Q28">
        <f t="shared" si="13"/>
        <v>2.95460714285713</v>
      </c>
      <c r="R28">
        <f t="shared" si="14"/>
        <v>3.20311318681314</v>
      </c>
    </row>
    <row r="29" spans="1:18">
      <c r="A29">
        <v>2.15501757096626e-7</v>
      </c>
      <c r="B29">
        <v>0.00489232952547466</v>
      </c>
      <c r="C29">
        <v>0.0585796703296708</v>
      </c>
      <c r="D29">
        <v>-117.852474725276</v>
      </c>
      <c r="E29" s="4" t="s">
        <v>32</v>
      </c>
      <c r="F29">
        <f t="shared" si="2"/>
        <v>0.00982197802196083</v>
      </c>
      <c r="G29">
        <f t="shared" si="3"/>
        <v>0.0684016483516388</v>
      </c>
      <c r="H29">
        <f t="shared" si="4"/>
        <v>0.126981318681302</v>
      </c>
      <c r="I29">
        <f t="shared" si="5"/>
        <v>0.18556098901098</v>
      </c>
      <c r="J29">
        <f t="shared" si="6"/>
        <v>0.244140659340644</v>
      </c>
      <c r="K29">
        <f t="shared" si="7"/>
        <v>0.302720329670322</v>
      </c>
      <c r="L29">
        <f t="shared" si="8"/>
        <v>0.361299999999986</v>
      </c>
      <c r="M29">
        <f t="shared" si="9"/>
        <v>0.419879670329664</v>
      </c>
      <c r="N29">
        <f t="shared" si="10"/>
        <v>0.478459340659327</v>
      </c>
      <c r="O29">
        <f t="shared" si="11"/>
        <v>0.537039010989005</v>
      </c>
      <c r="P29">
        <f t="shared" si="12"/>
        <v>0.595618681318669</v>
      </c>
      <c r="Q29">
        <f t="shared" si="13"/>
        <v>0.654198351648347</v>
      </c>
      <c r="R29">
        <f t="shared" si="14"/>
        <v>0.712778021978011</v>
      </c>
    </row>
    <row r="30" spans="1:18">
      <c r="A30">
        <v>9.43750799009899e-7</v>
      </c>
      <c r="B30">
        <v>0.000394375959040958</v>
      </c>
      <c r="C30">
        <v>0.0143642857142858</v>
      </c>
      <c r="D30">
        <v>-28.908697802198</v>
      </c>
      <c r="E30" s="4" t="s">
        <v>33</v>
      </c>
      <c r="F30">
        <f t="shared" si="2"/>
        <v>-0.00775494505494834</v>
      </c>
      <c r="G30">
        <f t="shared" si="3"/>
        <v>0.00660934065933816</v>
      </c>
      <c r="H30">
        <f t="shared" si="4"/>
        <v>0.0209736263736247</v>
      </c>
      <c r="I30">
        <f t="shared" si="5"/>
        <v>0.0353379120879076</v>
      </c>
      <c r="J30">
        <f t="shared" si="6"/>
        <v>0.0497021978021941</v>
      </c>
      <c r="K30">
        <f t="shared" si="7"/>
        <v>0.0640664835164806</v>
      </c>
      <c r="L30">
        <f t="shared" si="8"/>
        <v>0.0784307692307671</v>
      </c>
      <c r="M30">
        <f t="shared" si="9"/>
        <v>0.0927950549450536</v>
      </c>
      <c r="N30">
        <f t="shared" si="10"/>
        <v>0.10715934065934</v>
      </c>
      <c r="O30">
        <f t="shared" si="11"/>
        <v>0.121523626373623</v>
      </c>
      <c r="P30">
        <f t="shared" si="12"/>
        <v>0.13588791208791</v>
      </c>
      <c r="Q30">
        <f t="shared" si="13"/>
        <v>0.150252197802196</v>
      </c>
      <c r="R30">
        <f t="shared" si="14"/>
        <v>0.164616483516483</v>
      </c>
    </row>
    <row r="31" spans="1:18">
      <c r="A31">
        <v>3.34500730767635e-8</v>
      </c>
      <c r="B31">
        <v>0.00222893316183816</v>
      </c>
      <c r="C31">
        <v>0.0473664835164839</v>
      </c>
      <c r="D31">
        <v>-95.3368560439568</v>
      </c>
      <c r="E31" s="4" t="s">
        <v>34</v>
      </c>
      <c r="F31">
        <f t="shared" si="2"/>
        <v>-0.035491208791214</v>
      </c>
      <c r="G31">
        <f t="shared" si="3"/>
        <v>0.0118752747252699</v>
      </c>
      <c r="H31">
        <f t="shared" si="4"/>
        <v>0.0592417582417539</v>
      </c>
      <c r="I31">
        <f t="shared" si="5"/>
        <v>0.106608241758238</v>
      </c>
      <c r="J31">
        <f t="shared" si="6"/>
        <v>0.153974725274722</v>
      </c>
      <c r="K31">
        <f t="shared" si="7"/>
        <v>0.201341208791206</v>
      </c>
      <c r="L31">
        <f t="shared" si="8"/>
        <v>0.24870769230769</v>
      </c>
      <c r="M31">
        <f t="shared" si="9"/>
        <v>0.296074175824174</v>
      </c>
      <c r="N31">
        <f t="shared" si="10"/>
        <v>0.343440659340658</v>
      </c>
      <c r="O31">
        <f t="shared" si="11"/>
        <v>0.390807142857142</v>
      </c>
      <c r="P31">
        <f t="shared" si="12"/>
        <v>0.438173626373626</v>
      </c>
      <c r="Q31">
        <f t="shared" si="13"/>
        <v>0.48554010989011</v>
      </c>
      <c r="R31">
        <f t="shared" si="14"/>
        <v>0.532906593406594</v>
      </c>
    </row>
    <row r="32" spans="1:18">
      <c r="A32">
        <v>7.24215312016242e-6</v>
      </c>
      <c r="B32">
        <v>0.017528640834165</v>
      </c>
      <c r="C32">
        <v>0.0776620879120885</v>
      </c>
      <c r="D32">
        <v>-156.329154945056</v>
      </c>
      <c r="E32" s="4" t="s">
        <v>35</v>
      </c>
      <c r="F32">
        <f t="shared" si="2"/>
        <v>-0.0730340659340811</v>
      </c>
      <c r="G32">
        <f t="shared" si="3"/>
        <v>0.00462802197799306</v>
      </c>
      <c r="H32">
        <f t="shared" si="4"/>
        <v>0.0822901098900957</v>
      </c>
      <c r="I32">
        <f t="shared" si="5"/>
        <v>0.15995219780217</v>
      </c>
      <c r="J32">
        <f t="shared" si="6"/>
        <v>0.237614285714272</v>
      </c>
      <c r="K32">
        <f t="shared" si="7"/>
        <v>0.315276373626347</v>
      </c>
      <c r="L32">
        <f t="shared" si="8"/>
        <v>0.392938461538449</v>
      </c>
      <c r="M32">
        <f t="shared" si="9"/>
        <v>0.470600549450523</v>
      </c>
      <c r="N32">
        <f t="shared" si="10"/>
        <v>0.548262637362626</v>
      </c>
      <c r="O32">
        <f t="shared" si="11"/>
        <v>0.6259247252747</v>
      </c>
      <c r="P32">
        <f t="shared" si="12"/>
        <v>0.703586813186803</v>
      </c>
      <c r="Q32">
        <f t="shared" si="13"/>
        <v>0.781248901098877</v>
      </c>
      <c r="R32">
        <f t="shared" si="14"/>
        <v>0.85891098901098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赵文玉</cp:lastModifiedBy>
  <dcterms:created xsi:type="dcterms:W3CDTF">2026-01-13T13:58:00Z</dcterms:created>
  <dcterms:modified xsi:type="dcterms:W3CDTF">2026-01-14T02:54:48Z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CD1D1CD12F414634AD6540FAEC8181B5_12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