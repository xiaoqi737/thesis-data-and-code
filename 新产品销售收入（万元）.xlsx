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<sst xmlns="http://schemas.openxmlformats.org/spreadsheetml/2006/main" count="49" uniqueCount="49">
  <si>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sz val="11"/>
        <rFont val="Calibri"/>
        <charset val="134"/>
      </rPr>
      <t>p</t>
    </r>
    <r>
      <rPr>
        <sz val="11"/>
        <rFont val="宋体"/>
        <charset val="134"/>
      </rPr>
      <t>值</t>
    </r>
  </si>
  <si>
    <t>MSE</t>
  </si>
  <si>
    <t>斜率</t>
  </si>
  <si>
    <t>常数</t>
  </si>
  <si>
    <t>地区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</si>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</sst>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Fill="1" applyAlignment="1">
      <alignment horizontal="center" wrapText="1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A2" sqref="A2:D32"/>
    </sheetView>
  </sheetViews>
  <sheetFormatPr defaultColWidth="9" defaultRowHeight="14.4"/>
  <cols>
    <col min="1" max="2" width="15.712962962963" customWidth="1"/>
    <col min="3" max="3" width="11.712962962963" customWidth="1"/>
    <col min="4" max="4" width="16.3796296296296" customWidth="1"/>
    <col min="6" max="6" width="14.1111111111111"/>
    <col min="7" max="18" width="12.8888888888889"/>
  </cols>
  <sheetData>
    <row r="1" spans="1:1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>
        <v>0.000514351584510831</v>
      </c>
      <c r="B2">
        <v>868696.555817541</v>
      </c>
      <c r="C2">
        <v>334.770796758242</v>
      </c>
      <c r="D2">
        <v>-670553.060918133</v>
      </c>
      <c r="E2" s="3" t="s">
        <v>18</v>
      </c>
      <c r="F2">
        <f>$C2*F$1+$D2</f>
        <v>3005.78215945046</v>
      </c>
      <c r="G2">
        <f t="shared" ref="G2:R2" si="0">$C2*G$1+$D2</f>
        <v>3340.5529562087</v>
      </c>
      <c r="H2">
        <f t="shared" si="0"/>
        <v>3675.32375296694</v>
      </c>
      <c r="I2">
        <f t="shared" si="0"/>
        <v>4010.09454972518</v>
      </c>
      <c r="J2">
        <f t="shared" si="0"/>
        <v>4344.86534648342</v>
      </c>
      <c r="K2">
        <f t="shared" si="0"/>
        <v>4679.63614324166</v>
      </c>
      <c r="L2">
        <f t="shared" si="0"/>
        <v>5014.4069399999</v>
      </c>
      <c r="M2">
        <f t="shared" si="0"/>
        <v>5349.17773675814</v>
      </c>
      <c r="N2">
        <f t="shared" si="0"/>
        <v>5683.94853351638</v>
      </c>
      <c r="O2">
        <f t="shared" si="0"/>
        <v>6018.71933027462</v>
      </c>
      <c r="P2">
        <f t="shared" si="0"/>
        <v>6353.49012703286</v>
      </c>
      <c r="Q2">
        <f t="shared" si="0"/>
        <v>6688.26092379109</v>
      </c>
      <c r="R2">
        <f t="shared" si="0"/>
        <v>7023.03172054933</v>
      </c>
    </row>
    <row r="3" spans="1:18">
      <c r="A3">
        <v>0.0484319944147303</v>
      </c>
      <c r="B3">
        <v>442596.81971218</v>
      </c>
      <c r="C3">
        <v>-109.43783302198</v>
      </c>
      <c r="D3">
        <v>225500.89465451</v>
      </c>
      <c r="E3" s="3" t="s">
        <v>19</v>
      </c>
      <c r="F3">
        <f t="shared" ref="F3:F32" si="1">$C3*F$1+$D3</f>
        <v>5311.97461428575</v>
      </c>
      <c r="G3">
        <f t="shared" ref="G3:G32" si="2">$C3*G$1+$D3</f>
        <v>5202.53678126377</v>
      </c>
      <c r="H3">
        <f t="shared" ref="H3:H32" si="3">$C3*H$1+$D3</f>
        <v>5093.09894824179</v>
      </c>
      <c r="I3">
        <f t="shared" ref="I3:I32" si="4">$C3*I$1+$D3</f>
        <v>4983.66111521982</v>
      </c>
      <c r="J3">
        <f t="shared" ref="J3:J32" si="5">$C3*J$1+$D3</f>
        <v>4874.22328219784</v>
      </c>
      <c r="K3">
        <f t="shared" ref="K3:K32" si="6">$C3*K$1+$D3</f>
        <v>4764.78544917586</v>
      </c>
      <c r="L3">
        <f t="shared" ref="L3:L32" si="7">$C3*L$1+$D3</f>
        <v>4655.34761615389</v>
      </c>
      <c r="M3">
        <f t="shared" ref="M3:M32" si="8">$C3*M$1+$D3</f>
        <v>4545.90978313188</v>
      </c>
      <c r="N3">
        <f t="shared" ref="N3:N32" si="9">$C3*N$1+$D3</f>
        <v>4436.4719501099</v>
      </c>
      <c r="O3">
        <f t="shared" ref="O3:O32" si="10">$C3*O$1+$D3</f>
        <v>4327.03411708793</v>
      </c>
      <c r="P3">
        <f t="shared" ref="P3:P32" si="11">$C3*P$1+$D3</f>
        <v>4217.59628406595</v>
      </c>
      <c r="Q3">
        <f t="shared" ref="Q3:Q32" si="12">$C3*Q$1+$D3</f>
        <v>4108.15845104397</v>
      </c>
      <c r="R3">
        <f t="shared" ref="R3:R32" si="13">$C3*R$1+$D3</f>
        <v>3998.72061802199</v>
      </c>
    </row>
    <row r="4" spans="1:18">
      <c r="A4">
        <v>3.49294051926473e-8</v>
      </c>
      <c r="B4">
        <v>692398.759171029</v>
      </c>
      <c r="C4">
        <v>831.376014340664</v>
      </c>
      <c r="D4">
        <v>-1671393.52325023</v>
      </c>
      <c r="E4" s="3" t="s">
        <v>20</v>
      </c>
      <c r="F4">
        <f t="shared" si="1"/>
        <v>1335.01760318666</v>
      </c>
      <c r="G4">
        <f t="shared" si="2"/>
        <v>2166.39361752733</v>
      </c>
      <c r="H4">
        <f t="shared" si="3"/>
        <v>2997.769631868</v>
      </c>
      <c r="I4">
        <f t="shared" si="4"/>
        <v>3829.14564620866</v>
      </c>
      <c r="J4">
        <f t="shared" si="5"/>
        <v>4660.52166054933</v>
      </c>
      <c r="K4">
        <f t="shared" si="6"/>
        <v>5491.89767489</v>
      </c>
      <c r="L4">
        <f t="shared" si="7"/>
        <v>6323.27368923067</v>
      </c>
      <c r="M4">
        <f t="shared" si="8"/>
        <v>7154.64970357134</v>
      </c>
      <c r="N4">
        <f t="shared" si="9"/>
        <v>7986.02571791201</v>
      </c>
      <c r="O4">
        <f t="shared" si="10"/>
        <v>8817.40173225268</v>
      </c>
      <c r="P4">
        <f t="shared" si="11"/>
        <v>9648.77774659335</v>
      </c>
      <c r="Q4">
        <f t="shared" si="12"/>
        <v>10480.153760934</v>
      </c>
      <c r="R4">
        <f t="shared" si="13"/>
        <v>11311.5297752747</v>
      </c>
    </row>
    <row r="5" spans="1:18">
      <c r="A5">
        <v>7.81888183734578e-7</v>
      </c>
      <c r="B5">
        <v>109891.939821262</v>
      </c>
      <c r="C5">
        <v>244.349670274726</v>
      </c>
      <c r="D5">
        <v>-491133.26881209</v>
      </c>
      <c r="E5" s="3" t="s">
        <v>21</v>
      </c>
      <c r="F5">
        <f t="shared" si="1"/>
        <v>498.267780659313</v>
      </c>
      <c r="G5">
        <f t="shared" si="2"/>
        <v>742.61745093402</v>
      </c>
      <c r="H5">
        <f t="shared" si="3"/>
        <v>986.967121208785</v>
      </c>
      <c r="I5">
        <f t="shared" si="4"/>
        <v>1231.31679148349</v>
      </c>
      <c r="J5">
        <f t="shared" si="5"/>
        <v>1475.6664617582</v>
      </c>
      <c r="K5">
        <f t="shared" si="6"/>
        <v>1720.01613203296</v>
      </c>
      <c r="L5">
        <f t="shared" si="7"/>
        <v>1964.36580230767</v>
      </c>
      <c r="M5">
        <f t="shared" si="8"/>
        <v>2208.71547258238</v>
      </c>
      <c r="N5">
        <f t="shared" si="9"/>
        <v>2453.06514285714</v>
      </c>
      <c r="O5">
        <f t="shared" si="10"/>
        <v>2697.41481313185</v>
      </c>
      <c r="P5">
        <f t="shared" si="11"/>
        <v>2941.76448340656</v>
      </c>
      <c r="Q5">
        <f t="shared" si="12"/>
        <v>3186.11415368132</v>
      </c>
      <c r="R5">
        <f t="shared" si="13"/>
        <v>3430.46382395603</v>
      </c>
    </row>
    <row r="6" spans="1:18">
      <c r="A6">
        <v>4.55218365650315e-5</v>
      </c>
      <c r="B6">
        <v>200062.725153686</v>
      </c>
      <c r="C6">
        <v>214.835784010991</v>
      </c>
      <c r="D6">
        <v>-432137.721769564</v>
      </c>
      <c r="E6" s="3" t="s">
        <v>22</v>
      </c>
      <c r="F6">
        <f t="shared" si="1"/>
        <v>111.875660549384</v>
      </c>
      <c r="G6">
        <f t="shared" si="2"/>
        <v>326.71144456038</v>
      </c>
      <c r="H6">
        <f t="shared" si="3"/>
        <v>541.547228571319</v>
      </c>
      <c r="I6">
        <f t="shared" si="4"/>
        <v>756.383012582315</v>
      </c>
      <c r="J6">
        <f t="shared" si="5"/>
        <v>971.218796593312</v>
      </c>
      <c r="K6">
        <f t="shared" si="6"/>
        <v>1186.05458060431</v>
      </c>
      <c r="L6">
        <f t="shared" si="7"/>
        <v>1400.8903646153</v>
      </c>
      <c r="M6">
        <f t="shared" si="8"/>
        <v>1615.7261486263</v>
      </c>
      <c r="N6">
        <f t="shared" si="9"/>
        <v>1830.5619326373</v>
      </c>
      <c r="O6">
        <f t="shared" si="10"/>
        <v>2045.39771664829</v>
      </c>
      <c r="P6">
        <f t="shared" si="11"/>
        <v>2260.23350065929</v>
      </c>
      <c r="Q6">
        <f t="shared" si="12"/>
        <v>2475.06928467029</v>
      </c>
      <c r="R6">
        <f t="shared" si="13"/>
        <v>2689.90506868123</v>
      </c>
    </row>
    <row r="7" spans="1:18">
      <c r="A7">
        <v>0.000596372704995245</v>
      </c>
      <c r="B7">
        <v>156324.930491665</v>
      </c>
      <c r="C7">
        <v>139.311394395604</v>
      </c>
      <c r="D7">
        <v>-276921.015813406</v>
      </c>
      <c r="E7" s="3" t="s">
        <v>23</v>
      </c>
      <c r="F7">
        <f t="shared" si="1"/>
        <v>3373.50971054944</v>
      </c>
      <c r="G7">
        <f t="shared" si="2"/>
        <v>3512.82110494503</v>
      </c>
      <c r="H7">
        <f t="shared" si="3"/>
        <v>3652.13249934063</v>
      </c>
      <c r="I7">
        <f t="shared" si="4"/>
        <v>3791.44389373623</v>
      </c>
      <c r="J7">
        <f t="shared" si="5"/>
        <v>3930.75528813188</v>
      </c>
      <c r="K7">
        <f t="shared" si="6"/>
        <v>4070.06668252748</v>
      </c>
      <c r="L7">
        <f t="shared" si="7"/>
        <v>4209.37807692308</v>
      </c>
      <c r="M7">
        <f t="shared" si="8"/>
        <v>4348.68947131868</v>
      </c>
      <c r="N7">
        <f t="shared" si="9"/>
        <v>4488.00086571428</v>
      </c>
      <c r="O7">
        <f t="shared" si="10"/>
        <v>4627.31226010987</v>
      </c>
      <c r="P7">
        <f t="shared" si="11"/>
        <v>4766.62365450547</v>
      </c>
      <c r="Q7">
        <f t="shared" si="12"/>
        <v>4905.93504890107</v>
      </c>
      <c r="R7">
        <f t="shared" si="13"/>
        <v>5045.24644329667</v>
      </c>
    </row>
    <row r="8" spans="1:18">
      <c r="A8" s="4">
        <v>0.296906724526536</v>
      </c>
      <c r="B8">
        <v>380288.166028799</v>
      </c>
      <c r="C8">
        <v>50.0542406043959</v>
      </c>
      <c r="D8">
        <v>-98940.1248273633</v>
      </c>
      <c r="E8" s="3" t="s">
        <v>24</v>
      </c>
      <c r="F8">
        <f t="shared" si="1"/>
        <v>1769.00726868131</v>
      </c>
      <c r="G8">
        <f t="shared" si="2"/>
        <v>1819.0615092857</v>
      </c>
      <c r="H8">
        <f t="shared" si="3"/>
        <v>1869.1157498901</v>
      </c>
      <c r="I8">
        <f t="shared" si="4"/>
        <v>1919.1699904945</v>
      </c>
      <c r="J8">
        <f t="shared" si="5"/>
        <v>1969.22423109889</v>
      </c>
      <c r="K8">
        <f t="shared" si="6"/>
        <v>2019.27847170329</v>
      </c>
      <c r="L8">
        <f t="shared" si="7"/>
        <v>2069.33271230769</v>
      </c>
      <c r="M8">
        <f t="shared" si="8"/>
        <v>2119.38695291209</v>
      </c>
      <c r="N8">
        <f t="shared" si="9"/>
        <v>2169.44119351648</v>
      </c>
      <c r="O8">
        <f t="shared" si="10"/>
        <v>2219.49543412088</v>
      </c>
      <c r="P8">
        <f t="shared" si="11"/>
        <v>2269.54967472528</v>
      </c>
      <c r="Q8">
        <f t="shared" si="12"/>
        <v>2319.60391532967</v>
      </c>
      <c r="R8">
        <f t="shared" si="13"/>
        <v>2369.65815593407</v>
      </c>
    </row>
    <row r="9" spans="1:18">
      <c r="A9">
        <v>0.000212887069537914</v>
      </c>
      <c r="B9">
        <v>31242.4154122421</v>
      </c>
      <c r="C9">
        <v>70.9021209890113</v>
      </c>
      <c r="D9">
        <v>-142276.771828133</v>
      </c>
      <c r="E9" s="3" t="s">
        <v>25</v>
      </c>
      <c r="F9">
        <f t="shared" si="1"/>
        <v>378.295601758204</v>
      </c>
      <c r="G9">
        <f t="shared" si="2"/>
        <v>449.197722747223</v>
      </c>
      <c r="H9">
        <f t="shared" si="3"/>
        <v>520.099843736243</v>
      </c>
      <c r="I9">
        <f t="shared" si="4"/>
        <v>591.001964725263</v>
      </c>
      <c r="J9">
        <f t="shared" si="5"/>
        <v>661.904085714254</v>
      </c>
      <c r="K9">
        <f t="shared" si="6"/>
        <v>732.806206703273</v>
      </c>
      <c r="L9">
        <f t="shared" si="7"/>
        <v>803.708327692293</v>
      </c>
      <c r="M9">
        <f t="shared" si="8"/>
        <v>874.610448681284</v>
      </c>
      <c r="N9">
        <f t="shared" si="9"/>
        <v>945.512569670303</v>
      </c>
      <c r="O9">
        <f t="shared" si="10"/>
        <v>1016.41469065932</v>
      </c>
      <c r="P9">
        <f t="shared" si="11"/>
        <v>1087.31681164834</v>
      </c>
      <c r="Q9">
        <f t="shared" si="12"/>
        <v>1158.21893263733</v>
      </c>
      <c r="R9">
        <f t="shared" si="13"/>
        <v>1229.12105362635</v>
      </c>
    </row>
    <row r="10" spans="1:18">
      <c r="A10">
        <v>2.18246736145785e-5</v>
      </c>
      <c r="B10">
        <v>312377.880426042</v>
      </c>
      <c r="C10">
        <v>291.247605329671</v>
      </c>
      <c r="D10">
        <v>-578319.291326815</v>
      </c>
      <c r="E10" s="3" t="s">
        <v>26</v>
      </c>
      <c r="F10">
        <f t="shared" si="1"/>
        <v>7670.89059648348</v>
      </c>
      <c r="G10">
        <f t="shared" si="2"/>
        <v>7962.1382018131</v>
      </c>
      <c r="H10">
        <f t="shared" si="3"/>
        <v>8253.38580714283</v>
      </c>
      <c r="I10">
        <f t="shared" si="4"/>
        <v>8544.63341247244</v>
      </c>
      <c r="J10">
        <f t="shared" si="5"/>
        <v>8835.88101780217</v>
      </c>
      <c r="K10">
        <f t="shared" si="6"/>
        <v>9127.12862313178</v>
      </c>
      <c r="L10">
        <f t="shared" si="7"/>
        <v>9418.37622846151</v>
      </c>
      <c r="M10">
        <f t="shared" si="8"/>
        <v>9709.62383379112</v>
      </c>
      <c r="N10">
        <f t="shared" si="9"/>
        <v>10000.8714391208</v>
      </c>
      <c r="O10">
        <f t="shared" si="10"/>
        <v>10292.1190444505</v>
      </c>
      <c r="P10">
        <f t="shared" si="11"/>
        <v>10583.3666497802</v>
      </c>
      <c r="Q10">
        <f t="shared" si="12"/>
        <v>10874.6142551098</v>
      </c>
      <c r="R10">
        <f t="shared" si="13"/>
        <v>11165.8618604395</v>
      </c>
    </row>
    <row r="11" spans="1:18">
      <c r="A11">
        <v>8.70250995197091e-8</v>
      </c>
      <c r="B11">
        <v>10394462.6956862</v>
      </c>
      <c r="C11">
        <v>2949.75959642859</v>
      </c>
      <c r="D11">
        <v>-5919196.10232442</v>
      </c>
      <c r="E11" s="3" t="s">
        <v>27</v>
      </c>
      <c r="F11">
        <f t="shared" si="1"/>
        <v>15720.2056898894</v>
      </c>
      <c r="G11">
        <f t="shared" si="2"/>
        <v>18669.9652863173</v>
      </c>
      <c r="H11">
        <f t="shared" si="3"/>
        <v>21619.7248827461</v>
      </c>
      <c r="I11">
        <f t="shared" si="4"/>
        <v>24569.4844791749</v>
      </c>
      <c r="J11">
        <f t="shared" si="5"/>
        <v>27519.2440756038</v>
      </c>
      <c r="K11">
        <f t="shared" si="6"/>
        <v>30469.0036720317</v>
      </c>
      <c r="L11">
        <f t="shared" si="7"/>
        <v>33418.7632684605</v>
      </c>
      <c r="M11">
        <f t="shared" si="8"/>
        <v>36368.5228648894</v>
      </c>
      <c r="N11">
        <f t="shared" si="9"/>
        <v>39318.2824613173</v>
      </c>
      <c r="O11">
        <f t="shared" si="10"/>
        <v>42268.0420577461</v>
      </c>
      <c r="P11">
        <f t="shared" si="11"/>
        <v>45217.8016541749</v>
      </c>
      <c r="Q11">
        <f t="shared" si="12"/>
        <v>48167.5612506038</v>
      </c>
      <c r="R11">
        <f t="shared" si="13"/>
        <v>51117.3208470317</v>
      </c>
    </row>
    <row r="12" spans="1:18">
      <c r="A12">
        <v>1.38469713405545e-8</v>
      </c>
      <c r="B12">
        <v>6377047.76605779</v>
      </c>
      <c r="C12">
        <v>2756.28408857144</v>
      </c>
      <c r="D12">
        <v>-5535601.32795178</v>
      </c>
      <c r="E12" s="3" t="s">
        <v>28</v>
      </c>
      <c r="F12">
        <f t="shared" si="1"/>
        <v>10042.2582539544</v>
      </c>
      <c r="G12">
        <f t="shared" si="2"/>
        <v>12798.5423425259</v>
      </c>
      <c r="H12">
        <f t="shared" si="3"/>
        <v>15554.8264310975</v>
      </c>
      <c r="I12">
        <f t="shared" si="4"/>
        <v>18311.110519669</v>
      </c>
      <c r="J12">
        <f t="shared" si="5"/>
        <v>21067.3946082406</v>
      </c>
      <c r="K12">
        <f t="shared" si="6"/>
        <v>23823.6786968121</v>
      </c>
      <c r="L12">
        <f t="shared" si="7"/>
        <v>26579.9627853837</v>
      </c>
      <c r="M12">
        <f t="shared" si="8"/>
        <v>29336.2468739552</v>
      </c>
      <c r="N12">
        <f t="shared" si="9"/>
        <v>32092.5309625268</v>
      </c>
      <c r="O12">
        <f t="shared" si="10"/>
        <v>34848.8150510974</v>
      </c>
      <c r="P12">
        <f t="shared" si="11"/>
        <v>37605.099139669</v>
      </c>
      <c r="Q12">
        <f t="shared" si="12"/>
        <v>40361.3832282405</v>
      </c>
      <c r="R12">
        <f t="shared" si="13"/>
        <v>43117.6673168121</v>
      </c>
    </row>
    <row r="13" spans="1:18">
      <c r="A13">
        <v>1.24714794686715e-8</v>
      </c>
      <c r="B13">
        <v>1625559.12349078</v>
      </c>
      <c r="C13">
        <v>1405.52003109891</v>
      </c>
      <c r="D13">
        <v>-2825712.00121606</v>
      </c>
      <c r="E13" s="3" t="s">
        <v>29</v>
      </c>
      <c r="F13">
        <f t="shared" si="1"/>
        <v>2194.30135494471</v>
      </c>
      <c r="G13">
        <f t="shared" si="2"/>
        <v>3599.82138604345</v>
      </c>
      <c r="H13">
        <f t="shared" si="3"/>
        <v>5005.34141714266</v>
      </c>
      <c r="I13">
        <f t="shared" si="4"/>
        <v>6410.8614482414</v>
      </c>
      <c r="J13">
        <f t="shared" si="5"/>
        <v>7816.38147934061</v>
      </c>
      <c r="K13">
        <f t="shared" si="6"/>
        <v>9221.90151043935</v>
      </c>
      <c r="L13">
        <f t="shared" si="7"/>
        <v>10627.4215415381</v>
      </c>
      <c r="M13">
        <f t="shared" si="8"/>
        <v>12032.9415726373</v>
      </c>
      <c r="N13">
        <f t="shared" si="9"/>
        <v>13438.461603736</v>
      </c>
      <c r="O13">
        <f t="shared" si="10"/>
        <v>14843.9816348348</v>
      </c>
      <c r="P13">
        <f t="shared" si="11"/>
        <v>16249.501665934</v>
      </c>
      <c r="Q13">
        <f t="shared" si="12"/>
        <v>17655.0216970327</v>
      </c>
      <c r="R13">
        <f t="shared" si="13"/>
        <v>19060.5417281315</v>
      </c>
    </row>
    <row r="14" spans="1:18">
      <c r="A14">
        <v>5.79784654469851e-8</v>
      </c>
      <c r="B14">
        <v>238464.786351308</v>
      </c>
      <c r="C14">
        <v>464.68120324176</v>
      </c>
      <c r="D14">
        <v>-932286.283745717</v>
      </c>
      <c r="E14" s="3" t="s">
        <v>30</v>
      </c>
      <c r="F14">
        <f t="shared" si="1"/>
        <v>2652.29717670323</v>
      </c>
      <c r="G14">
        <f t="shared" si="2"/>
        <v>3116.97837994504</v>
      </c>
      <c r="H14">
        <f t="shared" si="3"/>
        <v>3581.65958318673</v>
      </c>
      <c r="I14">
        <f t="shared" si="4"/>
        <v>4046.34078642854</v>
      </c>
      <c r="J14">
        <f t="shared" si="5"/>
        <v>4511.02198967035</v>
      </c>
      <c r="K14">
        <f t="shared" si="6"/>
        <v>4975.70319291204</v>
      </c>
      <c r="L14">
        <f t="shared" si="7"/>
        <v>5440.38439615385</v>
      </c>
      <c r="M14">
        <f t="shared" si="8"/>
        <v>5905.06559939554</v>
      </c>
      <c r="N14">
        <f t="shared" si="9"/>
        <v>6369.74680263735</v>
      </c>
      <c r="O14">
        <f t="shared" si="10"/>
        <v>6834.42800587905</v>
      </c>
      <c r="P14">
        <f t="shared" si="11"/>
        <v>7299.10920912086</v>
      </c>
      <c r="Q14">
        <f t="shared" si="12"/>
        <v>7763.79041236266</v>
      </c>
      <c r="R14">
        <f t="shared" si="13"/>
        <v>8228.47161560436</v>
      </c>
    </row>
    <row r="15" spans="1:18">
      <c r="A15">
        <v>4.39102824324488e-8</v>
      </c>
      <c r="B15">
        <v>1254560.71970013</v>
      </c>
      <c r="C15">
        <v>1094.75527285715</v>
      </c>
      <c r="D15">
        <v>-2203146.00209188</v>
      </c>
      <c r="E15" s="3" t="s">
        <v>31</v>
      </c>
      <c r="F15">
        <f t="shared" si="1"/>
        <v>-498.393103296869</v>
      </c>
      <c r="G15">
        <f t="shared" si="2"/>
        <v>596.362169560045</v>
      </c>
      <c r="H15">
        <f t="shared" si="3"/>
        <v>1691.11744241742</v>
      </c>
      <c r="I15">
        <f t="shared" si="4"/>
        <v>2785.87271527434</v>
      </c>
      <c r="J15">
        <f t="shared" si="5"/>
        <v>3880.62798813172</v>
      </c>
      <c r="K15">
        <f t="shared" si="6"/>
        <v>4975.38326098863</v>
      </c>
      <c r="L15">
        <f t="shared" si="7"/>
        <v>6070.13853384601</v>
      </c>
      <c r="M15">
        <f t="shared" si="8"/>
        <v>7164.89380670292</v>
      </c>
      <c r="N15">
        <f t="shared" si="9"/>
        <v>8259.6490795603</v>
      </c>
      <c r="O15">
        <f t="shared" si="10"/>
        <v>9354.40435241722</v>
      </c>
      <c r="P15">
        <f t="shared" si="11"/>
        <v>10449.1596252746</v>
      </c>
      <c r="Q15">
        <f t="shared" si="12"/>
        <v>11543.9148981315</v>
      </c>
      <c r="R15">
        <f t="shared" si="13"/>
        <v>12638.6701709889</v>
      </c>
    </row>
    <row r="16" spans="1:18">
      <c r="A16">
        <v>0.000559542047196646</v>
      </c>
      <c r="B16">
        <v>48536043.6641966</v>
      </c>
      <c r="C16">
        <v>2475.19731054947</v>
      </c>
      <c r="D16">
        <v>-4972762.91797652</v>
      </c>
      <c r="E16" s="3" t="s">
        <v>32</v>
      </c>
      <c r="F16">
        <f t="shared" si="1"/>
        <v>7334.07084900979</v>
      </c>
      <c r="G16">
        <f t="shared" si="2"/>
        <v>9809.268159559</v>
      </c>
      <c r="H16">
        <f t="shared" si="3"/>
        <v>12284.4654701082</v>
      </c>
      <c r="I16">
        <f t="shared" si="4"/>
        <v>14759.6627806583</v>
      </c>
      <c r="J16">
        <f t="shared" si="5"/>
        <v>17234.8600912075</v>
      </c>
      <c r="K16">
        <f t="shared" si="6"/>
        <v>19710.0574017568</v>
      </c>
      <c r="L16">
        <f t="shared" si="7"/>
        <v>22185.2547123069</v>
      </c>
      <c r="M16">
        <f t="shared" si="8"/>
        <v>24660.4520228561</v>
      </c>
      <c r="N16">
        <f t="shared" si="9"/>
        <v>27135.6493334053</v>
      </c>
      <c r="O16">
        <f t="shared" si="10"/>
        <v>29610.8466439545</v>
      </c>
      <c r="P16">
        <f t="shared" si="11"/>
        <v>32086.0439545047</v>
      </c>
      <c r="Q16">
        <f t="shared" si="12"/>
        <v>34561.2412650539</v>
      </c>
      <c r="R16">
        <f t="shared" si="13"/>
        <v>37036.4385756031</v>
      </c>
    </row>
    <row r="17" spans="1:18">
      <c r="A17">
        <v>3.38877870157411e-7</v>
      </c>
      <c r="B17">
        <v>494263.931648441</v>
      </c>
      <c r="C17">
        <v>563.142861483517</v>
      </c>
      <c r="D17">
        <v>-1129275.92103374</v>
      </c>
      <c r="E17" s="3" t="s">
        <v>33</v>
      </c>
      <c r="F17">
        <f t="shared" si="1"/>
        <v>3767.51627109875</v>
      </c>
      <c r="G17">
        <f t="shared" si="2"/>
        <v>4330.65913258214</v>
      </c>
      <c r="H17">
        <f t="shared" si="3"/>
        <v>4893.80199406575</v>
      </c>
      <c r="I17">
        <f t="shared" si="4"/>
        <v>5456.94485554914</v>
      </c>
      <c r="J17">
        <f t="shared" si="5"/>
        <v>6020.08771703276</v>
      </c>
      <c r="K17">
        <f t="shared" si="6"/>
        <v>6583.23057851638</v>
      </c>
      <c r="L17">
        <f t="shared" si="7"/>
        <v>7146.37343999976</v>
      </c>
      <c r="M17">
        <f t="shared" si="8"/>
        <v>7709.51630148338</v>
      </c>
      <c r="N17">
        <f t="shared" si="9"/>
        <v>8272.65916296677</v>
      </c>
      <c r="O17">
        <f t="shared" si="10"/>
        <v>8835.80202445039</v>
      </c>
      <c r="P17">
        <f t="shared" si="11"/>
        <v>9398.94488593377</v>
      </c>
      <c r="Q17">
        <f t="shared" si="12"/>
        <v>9962.08774741739</v>
      </c>
      <c r="R17">
        <f t="shared" si="13"/>
        <v>10525.2306089008</v>
      </c>
    </row>
    <row r="18" spans="1:18">
      <c r="A18">
        <v>9.25088823140748e-9</v>
      </c>
      <c r="B18">
        <v>938485.874386857</v>
      </c>
      <c r="C18">
        <v>1098.6725</v>
      </c>
      <c r="D18">
        <v>-2207745.74413539</v>
      </c>
      <c r="E18" s="3" t="s">
        <v>34</v>
      </c>
      <c r="F18">
        <f t="shared" si="1"/>
        <v>2783.32586461538</v>
      </c>
      <c r="G18">
        <f t="shared" si="2"/>
        <v>3881.99836461525</v>
      </c>
      <c r="H18">
        <f t="shared" si="3"/>
        <v>4980.67086461512</v>
      </c>
      <c r="I18">
        <f t="shared" si="4"/>
        <v>6079.34336461499</v>
      </c>
      <c r="J18">
        <f t="shared" si="5"/>
        <v>7178.01586461533</v>
      </c>
      <c r="K18">
        <f t="shared" si="6"/>
        <v>8276.6883646152</v>
      </c>
      <c r="L18">
        <f t="shared" si="7"/>
        <v>9375.36086461507</v>
      </c>
      <c r="M18">
        <f t="shared" si="8"/>
        <v>10474.0333646154</v>
      </c>
      <c r="N18">
        <f t="shared" si="9"/>
        <v>11572.7058646153</v>
      </c>
      <c r="O18">
        <f t="shared" si="10"/>
        <v>12671.3783646151</v>
      </c>
      <c r="P18">
        <f t="shared" si="11"/>
        <v>13770.050864615</v>
      </c>
      <c r="Q18">
        <f t="shared" si="12"/>
        <v>14868.7233646153</v>
      </c>
      <c r="R18">
        <f t="shared" si="13"/>
        <v>15967.3958646152</v>
      </c>
    </row>
    <row r="19" spans="1:18">
      <c r="A19">
        <v>9.97416152316199e-6</v>
      </c>
      <c r="B19">
        <v>2819865.16259322</v>
      </c>
      <c r="C19">
        <v>952.175255164841</v>
      </c>
      <c r="D19">
        <v>-1911911.55555803</v>
      </c>
      <c r="E19" s="3" t="s">
        <v>35</v>
      </c>
      <c r="F19">
        <f t="shared" si="1"/>
        <v>3865.05783362617</v>
      </c>
      <c r="G19">
        <f t="shared" si="2"/>
        <v>4817.2330887909</v>
      </c>
      <c r="H19">
        <f t="shared" si="3"/>
        <v>5769.40834395587</v>
      </c>
      <c r="I19">
        <f t="shared" si="4"/>
        <v>6721.58359912061</v>
      </c>
      <c r="J19">
        <f t="shared" si="5"/>
        <v>7673.75885428558</v>
      </c>
      <c r="K19">
        <f t="shared" si="6"/>
        <v>8625.93410945032</v>
      </c>
      <c r="L19">
        <f t="shared" si="7"/>
        <v>9578.10936461529</v>
      </c>
      <c r="M19">
        <f t="shared" si="8"/>
        <v>10530.28461978</v>
      </c>
      <c r="N19">
        <f t="shared" si="9"/>
        <v>11482.4598749448</v>
      </c>
      <c r="O19">
        <f t="shared" si="10"/>
        <v>12434.6351301097</v>
      </c>
      <c r="P19">
        <f t="shared" si="11"/>
        <v>13386.8103852745</v>
      </c>
      <c r="Q19">
        <f t="shared" si="12"/>
        <v>14338.9856404394</v>
      </c>
      <c r="R19">
        <f t="shared" si="13"/>
        <v>15291.1608956042</v>
      </c>
    </row>
    <row r="20" spans="1:18">
      <c r="A20">
        <v>4.8130620042853e-10</v>
      </c>
      <c r="B20">
        <v>5520052.01535486</v>
      </c>
      <c r="C20">
        <v>3517.25114956045</v>
      </c>
      <c r="D20">
        <v>-7061544.94204377</v>
      </c>
      <c r="E20" s="3" t="s">
        <v>36</v>
      </c>
      <c r="F20">
        <f t="shared" si="1"/>
        <v>15164.370871868</v>
      </c>
      <c r="G20">
        <f t="shared" si="2"/>
        <v>18681.6220214283</v>
      </c>
      <c r="H20">
        <f t="shared" si="3"/>
        <v>22198.8731709886</v>
      </c>
      <c r="I20">
        <f t="shared" si="4"/>
        <v>25716.124320549</v>
      </c>
      <c r="J20">
        <f t="shared" si="5"/>
        <v>29233.3754701102</v>
      </c>
      <c r="K20">
        <f t="shared" si="6"/>
        <v>32750.6266196705</v>
      </c>
      <c r="L20">
        <f t="shared" si="7"/>
        <v>36267.8777692309</v>
      </c>
      <c r="M20">
        <f t="shared" si="8"/>
        <v>39785.1289187912</v>
      </c>
      <c r="N20">
        <f t="shared" si="9"/>
        <v>43302.3800683515</v>
      </c>
      <c r="O20">
        <f t="shared" si="10"/>
        <v>46819.6312179118</v>
      </c>
      <c r="P20">
        <f t="shared" si="11"/>
        <v>50336.8823674722</v>
      </c>
      <c r="Q20">
        <f t="shared" si="12"/>
        <v>53854.1335170334</v>
      </c>
      <c r="R20">
        <f t="shared" si="13"/>
        <v>57371.3846665937</v>
      </c>
    </row>
    <row r="21" spans="1:18">
      <c r="A21">
        <v>1.39258375463061e-5</v>
      </c>
      <c r="B21">
        <v>126405.429970331</v>
      </c>
      <c r="C21">
        <v>194.52193302198</v>
      </c>
      <c r="D21">
        <v>-390292.062950663</v>
      </c>
      <c r="E21" s="3" t="s">
        <v>37</v>
      </c>
      <c r="F21">
        <f t="shared" si="1"/>
        <v>1086.0662895604</v>
      </c>
      <c r="G21">
        <f t="shared" si="2"/>
        <v>1280.58822258236</v>
      </c>
      <c r="H21">
        <f t="shared" si="3"/>
        <v>1475.11015560437</v>
      </c>
      <c r="I21">
        <f t="shared" si="4"/>
        <v>1669.63208862633</v>
      </c>
      <c r="J21">
        <f t="shared" si="5"/>
        <v>1864.15402164828</v>
      </c>
      <c r="K21">
        <f t="shared" si="6"/>
        <v>2058.6759546703</v>
      </c>
      <c r="L21">
        <f t="shared" si="7"/>
        <v>2253.19788769225</v>
      </c>
      <c r="M21">
        <f t="shared" si="8"/>
        <v>2447.71982071426</v>
      </c>
      <c r="N21">
        <f t="shared" si="9"/>
        <v>2642.24175373622</v>
      </c>
      <c r="O21">
        <f t="shared" si="10"/>
        <v>2836.76368675823</v>
      </c>
      <c r="P21">
        <f t="shared" si="11"/>
        <v>3031.28561978019</v>
      </c>
      <c r="Q21">
        <f t="shared" si="12"/>
        <v>3225.80755280214</v>
      </c>
      <c r="R21">
        <f t="shared" si="13"/>
        <v>3420.32948582416</v>
      </c>
    </row>
    <row r="22" spans="1:18">
      <c r="A22">
        <v>0.00590431803751678</v>
      </c>
      <c r="B22">
        <v>4809.52540977336</v>
      </c>
      <c r="C22">
        <v>17.4902903296704</v>
      </c>
      <c r="D22">
        <v>-35108.3004860442</v>
      </c>
      <c r="E22" s="3" t="s">
        <v>38</v>
      </c>
      <c r="F22">
        <f t="shared" si="1"/>
        <v>82.1636572527495</v>
      </c>
      <c r="G22">
        <f t="shared" si="2"/>
        <v>99.6539475824175</v>
      </c>
      <c r="H22">
        <f t="shared" si="3"/>
        <v>117.144237912085</v>
      </c>
      <c r="I22">
        <f t="shared" si="4"/>
        <v>134.634528241761</v>
      </c>
      <c r="J22">
        <f t="shared" si="5"/>
        <v>152.124818571428</v>
      </c>
      <c r="K22">
        <f t="shared" si="6"/>
        <v>169.615108901096</v>
      </c>
      <c r="L22">
        <f t="shared" si="7"/>
        <v>187.105399230772</v>
      </c>
      <c r="M22">
        <f t="shared" si="8"/>
        <v>204.595689560439</v>
      </c>
      <c r="N22">
        <f t="shared" si="9"/>
        <v>222.085979890107</v>
      </c>
      <c r="O22">
        <f t="shared" si="10"/>
        <v>239.576270219783</v>
      </c>
      <c r="P22">
        <f t="shared" si="11"/>
        <v>257.066560549451</v>
      </c>
      <c r="Q22">
        <f t="shared" si="12"/>
        <v>274.556850879118</v>
      </c>
      <c r="R22">
        <f t="shared" si="13"/>
        <v>292.047141208794</v>
      </c>
    </row>
    <row r="23" spans="1:18">
      <c r="A23">
        <v>1.61108468273953e-6</v>
      </c>
      <c r="B23">
        <v>433846.596150039</v>
      </c>
      <c r="C23">
        <v>451.360641318684</v>
      </c>
      <c r="D23">
        <v>-905614.071546488</v>
      </c>
      <c r="E23" s="3" t="s">
        <v>39</v>
      </c>
      <c r="F23">
        <f t="shared" si="1"/>
        <v>2523.53878670314</v>
      </c>
      <c r="G23">
        <f t="shared" si="2"/>
        <v>2974.89942802186</v>
      </c>
      <c r="H23">
        <f t="shared" si="3"/>
        <v>3426.26006934047</v>
      </c>
      <c r="I23">
        <f t="shared" si="4"/>
        <v>3877.62071065919</v>
      </c>
      <c r="J23">
        <f t="shared" si="5"/>
        <v>4328.98135197791</v>
      </c>
      <c r="K23">
        <f t="shared" si="6"/>
        <v>4780.34199329652</v>
      </c>
      <c r="L23">
        <f t="shared" si="7"/>
        <v>5231.70263461524</v>
      </c>
      <c r="M23">
        <f t="shared" si="8"/>
        <v>5683.06327593396</v>
      </c>
      <c r="N23">
        <f t="shared" si="9"/>
        <v>6134.42391725257</v>
      </c>
      <c r="O23">
        <f t="shared" si="10"/>
        <v>6585.78455857129</v>
      </c>
      <c r="P23">
        <f t="shared" si="11"/>
        <v>7037.14519989002</v>
      </c>
      <c r="Q23">
        <f t="shared" si="12"/>
        <v>7488.50584120862</v>
      </c>
      <c r="R23">
        <f t="shared" si="13"/>
        <v>7939.86648252734</v>
      </c>
    </row>
    <row r="24" spans="1:18">
      <c r="A24">
        <v>8.45023239264275e-8</v>
      </c>
      <c r="B24">
        <v>220901.582903849</v>
      </c>
      <c r="C24">
        <v>431.244212087914</v>
      </c>
      <c r="D24">
        <v>-865959.593070334</v>
      </c>
      <c r="E24" s="3" t="s">
        <v>40</v>
      </c>
      <c r="F24">
        <f t="shared" si="1"/>
        <v>1703.76165054936</v>
      </c>
      <c r="G24">
        <f t="shared" si="2"/>
        <v>2135.00586263731</v>
      </c>
      <c r="H24">
        <f t="shared" si="3"/>
        <v>2566.25007472513</v>
      </c>
      <c r="I24">
        <f t="shared" si="4"/>
        <v>2997.49428681307</v>
      </c>
      <c r="J24">
        <f t="shared" si="5"/>
        <v>3428.73849890102</v>
      </c>
      <c r="K24">
        <f t="shared" si="6"/>
        <v>3859.98271098896</v>
      </c>
      <c r="L24">
        <f t="shared" si="7"/>
        <v>4291.22692307679</v>
      </c>
      <c r="M24">
        <f t="shared" si="8"/>
        <v>4722.47113516473</v>
      </c>
      <c r="N24">
        <f t="shared" si="9"/>
        <v>5153.71534725267</v>
      </c>
      <c r="O24">
        <f t="shared" si="10"/>
        <v>5584.95955934061</v>
      </c>
      <c r="P24">
        <f t="shared" si="11"/>
        <v>6016.20377142844</v>
      </c>
      <c r="Q24">
        <f t="shared" si="12"/>
        <v>6447.44798351638</v>
      </c>
      <c r="R24">
        <f t="shared" si="13"/>
        <v>6878.69219560432</v>
      </c>
    </row>
    <row r="25" spans="1:18">
      <c r="A25">
        <v>2.36813575117895e-7</v>
      </c>
      <c r="B25">
        <v>11952.564221562</v>
      </c>
      <c r="C25">
        <v>90.7191907692313</v>
      </c>
      <c r="D25">
        <v>-182294.326175386</v>
      </c>
      <c r="E25" s="3" t="s">
        <v>41</v>
      </c>
      <c r="F25">
        <f t="shared" si="1"/>
        <v>232.685652307671</v>
      </c>
      <c r="G25">
        <f t="shared" si="2"/>
        <v>323.404843076918</v>
      </c>
      <c r="H25">
        <f t="shared" si="3"/>
        <v>414.124033846136</v>
      </c>
      <c r="I25">
        <f t="shared" si="4"/>
        <v>504.843224615382</v>
      </c>
      <c r="J25">
        <f t="shared" si="5"/>
        <v>595.5624153846</v>
      </c>
      <c r="K25">
        <f t="shared" si="6"/>
        <v>686.281606153818</v>
      </c>
      <c r="L25">
        <f t="shared" si="7"/>
        <v>777.000796923065</v>
      </c>
      <c r="M25">
        <f t="shared" si="8"/>
        <v>867.719987692282</v>
      </c>
      <c r="N25">
        <f t="shared" si="9"/>
        <v>958.439178461529</v>
      </c>
      <c r="O25">
        <f t="shared" si="10"/>
        <v>1049.15836923075</v>
      </c>
      <c r="P25">
        <f t="shared" si="11"/>
        <v>1139.87755999999</v>
      </c>
      <c r="Q25">
        <f t="shared" si="12"/>
        <v>1230.59675076921</v>
      </c>
      <c r="R25">
        <f t="shared" si="13"/>
        <v>1321.31594153846</v>
      </c>
    </row>
    <row r="26" spans="1:18">
      <c r="A26">
        <v>7.73366912834085e-6</v>
      </c>
      <c r="B26">
        <v>76867.7024457177</v>
      </c>
      <c r="C26">
        <v>161.508699010991</v>
      </c>
      <c r="D26">
        <v>-324843.246865717</v>
      </c>
      <c r="E26" s="3" t="s">
        <v>42</v>
      </c>
      <c r="F26">
        <f t="shared" si="1"/>
        <v>112.255544395535</v>
      </c>
      <c r="G26">
        <f t="shared" si="2"/>
        <v>273.764243406535</v>
      </c>
      <c r="H26">
        <f t="shared" si="3"/>
        <v>435.272942417534</v>
      </c>
      <c r="I26">
        <f t="shared" si="4"/>
        <v>596.781641428533</v>
      </c>
      <c r="J26">
        <f t="shared" si="5"/>
        <v>758.290340439533</v>
      </c>
      <c r="K26">
        <f t="shared" si="6"/>
        <v>919.799039450532</v>
      </c>
      <c r="L26">
        <f t="shared" si="7"/>
        <v>1081.30773846153</v>
      </c>
      <c r="M26">
        <f t="shared" si="8"/>
        <v>1242.81643747247</v>
      </c>
      <c r="N26">
        <f t="shared" si="9"/>
        <v>1404.32513648347</v>
      </c>
      <c r="O26">
        <f t="shared" si="10"/>
        <v>1565.83383549447</v>
      </c>
      <c r="P26">
        <f t="shared" si="11"/>
        <v>1727.34253450547</v>
      </c>
      <c r="Q26">
        <f t="shared" si="12"/>
        <v>1888.85123351647</v>
      </c>
      <c r="R26">
        <f t="shared" si="13"/>
        <v>2050.35993252747</v>
      </c>
    </row>
    <row r="27" spans="1:18">
      <c r="A27" s="4">
        <v>0.102824252720117</v>
      </c>
      <c r="B27">
        <v>38.0803889965665</v>
      </c>
      <c r="C27">
        <v>0.813823956043958</v>
      </c>
      <c r="D27">
        <v>-1633.78353021978</v>
      </c>
      <c r="E27" s="3" t="s">
        <v>43</v>
      </c>
      <c r="F27">
        <f t="shared" si="1"/>
        <v>3.6302693406592</v>
      </c>
      <c r="G27">
        <f t="shared" si="2"/>
        <v>4.44409329670316</v>
      </c>
      <c r="H27">
        <f t="shared" si="3"/>
        <v>5.25791725274712</v>
      </c>
      <c r="I27">
        <f t="shared" si="4"/>
        <v>6.07174120879108</v>
      </c>
      <c r="J27">
        <f t="shared" si="5"/>
        <v>6.88556516483504</v>
      </c>
      <c r="K27">
        <f t="shared" si="6"/>
        <v>7.699389120879</v>
      </c>
      <c r="L27">
        <f t="shared" si="7"/>
        <v>8.51321307692274</v>
      </c>
      <c r="M27">
        <f t="shared" si="8"/>
        <v>9.3270370329667</v>
      </c>
      <c r="N27">
        <f t="shared" si="9"/>
        <v>10.1408609890107</v>
      </c>
      <c r="O27">
        <f t="shared" si="10"/>
        <v>10.9546849450546</v>
      </c>
      <c r="P27">
        <f t="shared" si="11"/>
        <v>11.7685089010986</v>
      </c>
      <c r="Q27">
        <f t="shared" si="12"/>
        <v>12.5823328571425</v>
      </c>
      <c r="R27">
        <f t="shared" si="13"/>
        <v>13.3961568131865</v>
      </c>
    </row>
    <row r="28" spans="1:18">
      <c r="A28">
        <v>1.00469577108548e-5</v>
      </c>
      <c r="B28">
        <v>241935.390908785</v>
      </c>
      <c r="C28">
        <v>278.686583736264</v>
      </c>
      <c r="D28">
        <v>-560167.466843627</v>
      </c>
      <c r="E28" s="3" t="s">
        <v>44</v>
      </c>
      <c r="F28">
        <f t="shared" si="1"/>
        <v>549.939633736154</v>
      </c>
      <c r="G28">
        <f t="shared" si="2"/>
        <v>828.626217472483</v>
      </c>
      <c r="H28">
        <f t="shared" si="3"/>
        <v>1107.3128012087</v>
      </c>
      <c r="I28">
        <f t="shared" si="4"/>
        <v>1385.99938494503</v>
      </c>
      <c r="J28">
        <f t="shared" si="5"/>
        <v>1664.68596868124</v>
      </c>
      <c r="K28">
        <f t="shared" si="6"/>
        <v>1943.37255241745</v>
      </c>
      <c r="L28">
        <f t="shared" si="7"/>
        <v>2222.05913615378</v>
      </c>
      <c r="M28">
        <f t="shared" si="8"/>
        <v>2500.74571988999</v>
      </c>
      <c r="N28">
        <f t="shared" si="9"/>
        <v>2779.43230362632</v>
      </c>
      <c r="O28">
        <f t="shared" si="10"/>
        <v>3058.11888736254</v>
      </c>
      <c r="P28">
        <f t="shared" si="11"/>
        <v>3336.80547109887</v>
      </c>
      <c r="Q28">
        <f t="shared" si="12"/>
        <v>3615.49205483508</v>
      </c>
      <c r="R28">
        <f t="shared" si="13"/>
        <v>3894.17863857129</v>
      </c>
    </row>
    <row r="29" spans="1:18">
      <c r="A29">
        <v>0.0115583508622633</v>
      </c>
      <c r="B29">
        <v>111272.994039084</v>
      </c>
      <c r="C29">
        <v>74.7895198901107</v>
      </c>
      <c r="D29">
        <v>-150189.163557474</v>
      </c>
      <c r="E29" s="3" t="s">
        <v>45</v>
      </c>
      <c r="F29">
        <f t="shared" si="1"/>
        <v>287.350461428578</v>
      </c>
      <c r="G29">
        <f t="shared" si="2"/>
        <v>362.139981318673</v>
      </c>
      <c r="H29">
        <f t="shared" si="3"/>
        <v>436.929501208797</v>
      </c>
      <c r="I29">
        <f t="shared" si="4"/>
        <v>511.719021098892</v>
      </c>
      <c r="J29">
        <f t="shared" si="5"/>
        <v>586.508540989016</v>
      </c>
      <c r="K29">
        <f t="shared" si="6"/>
        <v>661.298060879111</v>
      </c>
      <c r="L29">
        <f t="shared" si="7"/>
        <v>736.087580769236</v>
      </c>
      <c r="M29">
        <f t="shared" si="8"/>
        <v>810.877100659331</v>
      </c>
      <c r="N29">
        <f t="shared" si="9"/>
        <v>885.666620549455</v>
      </c>
      <c r="O29">
        <f t="shared" si="10"/>
        <v>960.456140439579</v>
      </c>
      <c r="P29">
        <f t="shared" si="11"/>
        <v>1035.24566032967</v>
      </c>
      <c r="Q29">
        <f t="shared" si="12"/>
        <v>1110.0351802198</v>
      </c>
      <c r="R29">
        <f t="shared" si="13"/>
        <v>1184.82470010989</v>
      </c>
    </row>
    <row r="30" spans="1:18">
      <c r="A30">
        <v>0.00349871320509738</v>
      </c>
      <c r="B30">
        <v>5516.77966389487</v>
      </c>
      <c r="C30">
        <v>20.3734486263736</v>
      </c>
      <c r="D30">
        <v>-40998.892718022</v>
      </c>
      <c r="E30" s="3" t="s">
        <v>46</v>
      </c>
      <c r="F30">
        <f t="shared" si="1"/>
        <v>-7.51408175825054</v>
      </c>
      <c r="G30">
        <f t="shared" si="2"/>
        <v>12.8593668681278</v>
      </c>
      <c r="H30">
        <f t="shared" si="3"/>
        <v>33.2328154944989</v>
      </c>
      <c r="I30">
        <f t="shared" si="4"/>
        <v>53.60626412087</v>
      </c>
      <c r="J30">
        <f t="shared" si="5"/>
        <v>73.9797127472484</v>
      </c>
      <c r="K30">
        <f t="shared" si="6"/>
        <v>94.3531613736195</v>
      </c>
      <c r="L30">
        <f t="shared" si="7"/>
        <v>114.726609999998</v>
      </c>
      <c r="M30">
        <f t="shared" si="8"/>
        <v>135.100058626369</v>
      </c>
      <c r="N30">
        <f t="shared" si="9"/>
        <v>155.47350725274</v>
      </c>
      <c r="O30">
        <f t="shared" si="10"/>
        <v>175.846955879118</v>
      </c>
      <c r="P30">
        <f t="shared" si="11"/>
        <v>196.22040450549</v>
      </c>
      <c r="Q30">
        <f t="shared" si="12"/>
        <v>216.593853131861</v>
      </c>
      <c r="R30">
        <f t="shared" si="13"/>
        <v>236.967301758239</v>
      </c>
    </row>
    <row r="31" spans="1:18">
      <c r="A31">
        <v>3.07810442317479e-5</v>
      </c>
      <c r="B31">
        <v>12393.3257488934</v>
      </c>
      <c r="C31">
        <v>55.8580686813189</v>
      </c>
      <c r="D31">
        <v>-112270.954821978</v>
      </c>
      <c r="E31" s="3" t="s">
        <v>47</v>
      </c>
      <c r="F31">
        <f t="shared" si="1"/>
        <v>115.479364835162</v>
      </c>
      <c r="G31">
        <f t="shared" si="2"/>
        <v>171.337433516484</v>
      </c>
      <c r="H31">
        <f t="shared" si="3"/>
        <v>227.195502197792</v>
      </c>
      <c r="I31">
        <f t="shared" si="4"/>
        <v>283.053570879114</v>
      </c>
      <c r="J31">
        <f t="shared" si="5"/>
        <v>338.911639560436</v>
      </c>
      <c r="K31">
        <f t="shared" si="6"/>
        <v>394.769708241758</v>
      </c>
      <c r="L31">
        <f t="shared" si="7"/>
        <v>450.627776923066</v>
      </c>
      <c r="M31">
        <f t="shared" si="8"/>
        <v>506.485845604388</v>
      </c>
      <c r="N31">
        <f t="shared" si="9"/>
        <v>562.34391428571</v>
      </c>
      <c r="O31">
        <f t="shared" si="10"/>
        <v>618.201982967032</v>
      </c>
      <c r="P31">
        <f t="shared" si="11"/>
        <v>674.060051648354</v>
      </c>
      <c r="Q31">
        <f t="shared" si="12"/>
        <v>729.918120329661</v>
      </c>
      <c r="R31">
        <f t="shared" si="13"/>
        <v>785.776189010983</v>
      </c>
    </row>
    <row r="32" spans="1:18">
      <c r="A32">
        <v>2.07551224478218e-5</v>
      </c>
      <c r="B32">
        <v>5422.80680317716</v>
      </c>
      <c r="C32">
        <v>38.5849332967034</v>
      </c>
      <c r="D32">
        <v>-77326.5886865936</v>
      </c>
      <c r="E32" s="3" t="s">
        <v>48</v>
      </c>
      <c r="F32">
        <f t="shared" si="1"/>
        <v>306.297106373619</v>
      </c>
      <c r="G32">
        <f t="shared" si="2"/>
        <v>344.882039670323</v>
      </c>
      <c r="H32">
        <f t="shared" si="3"/>
        <v>383.466972967028</v>
      </c>
      <c r="I32">
        <f t="shared" si="4"/>
        <v>422.051906263732</v>
      </c>
      <c r="J32">
        <f t="shared" si="5"/>
        <v>460.636839560437</v>
      </c>
      <c r="K32">
        <f t="shared" si="6"/>
        <v>499.221772857127</v>
      </c>
      <c r="L32">
        <f t="shared" si="7"/>
        <v>537.806706153831</v>
      </c>
      <c r="M32">
        <f t="shared" si="8"/>
        <v>576.391639450536</v>
      </c>
      <c r="N32">
        <f t="shared" si="9"/>
        <v>614.97657274724</v>
      </c>
      <c r="O32">
        <f t="shared" si="10"/>
        <v>653.561506043945</v>
      </c>
      <c r="P32">
        <f t="shared" si="11"/>
        <v>692.14643934065</v>
      </c>
      <c r="Q32">
        <f t="shared" si="12"/>
        <v>730.731372637354</v>
      </c>
      <c r="R32">
        <f t="shared" si="13"/>
        <v>769.316305934059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2026-01-12T01:51:00Z</dcterms:created>
  <dcterms:modified xsi:type="dcterms:W3CDTF">2026-01-14T02:54:47Z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ACC498CF8B7C47238ABDB7969E6D73DD_12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