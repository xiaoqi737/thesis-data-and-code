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<sst xmlns="http://schemas.openxmlformats.org/spreadsheetml/2006/main" count="49" uniqueCount="49">
  <si>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r>
      <rPr>
        <sz val="11"/>
        <rFont val="Calibri"/>
        <charset val="134"/>
      </rPr>
      <t>p</t>
    </r>
    <r>
      <rPr>
        <sz val="11"/>
        <rFont val="宋体"/>
        <charset val="134"/>
      </rPr>
      <t>值</t>
    </r>
  </si>
  <si>
    <t>MSE</t>
  </si>
  <si>
    <t>斜率</t>
  </si>
  <si>
    <t>常数</t>
  </si>
  <si>
    <t>地区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</si>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</sst>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Fill="1" applyAlignment="1">
      <alignment horizontal="center" wrapText="1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workbookViewId="0">
      <selection activeCell="A2" sqref="A2:D32"/>
    </sheetView>
  </sheetViews>
  <sheetFormatPr defaultColWidth="9" defaultRowHeight="14.4"/>
  <cols>
    <col min="1" max="1" width="15.712962962963" customWidth="1"/>
    <col min="2" max="2" width="11.712962962963" customWidth="1"/>
    <col min="3" max="4" width="12.3796296296296" customWidth="1"/>
    <col min="6" max="18" width="12.8888888888889"/>
  </cols>
  <sheetData>
    <row r="1" spans="1:1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4">
        <v>0.887134900412675</v>
      </c>
      <c r="B2">
        <v>0.481667640017133</v>
      </c>
      <c r="C2">
        <v>0.00747269230769369</v>
      </c>
      <c r="D2">
        <v>-9.84178923077203</v>
      </c>
      <c r="E2" s="3" t="s">
        <v>18</v>
      </c>
      <c r="F2">
        <f>$C2*F$1+$D2</f>
        <v>5.19326769230768</v>
      </c>
      <c r="G2">
        <f t="shared" ref="G2:R2" si="0">$C2*G$1+$D2</f>
        <v>5.20074038461538</v>
      </c>
      <c r="H2">
        <f t="shared" si="0"/>
        <v>5.20821307692307</v>
      </c>
      <c r="I2">
        <f t="shared" si="0"/>
        <v>5.21568576923076</v>
      </c>
      <c r="J2">
        <f t="shared" si="0"/>
        <v>5.22315846153846</v>
      </c>
      <c r="K2">
        <f t="shared" si="0"/>
        <v>5.23063115384615</v>
      </c>
      <c r="L2">
        <f t="shared" si="0"/>
        <v>5.23810384615385</v>
      </c>
      <c r="M2">
        <f t="shared" si="0"/>
        <v>5.24557653846154</v>
      </c>
      <c r="N2">
        <f t="shared" si="0"/>
        <v>5.25304923076923</v>
      </c>
      <c r="O2">
        <f t="shared" si="0"/>
        <v>5.26052192307693</v>
      </c>
      <c r="P2">
        <f t="shared" si="0"/>
        <v>5.26799461538462</v>
      </c>
      <c r="Q2">
        <f t="shared" si="0"/>
        <v>5.27546730769232</v>
      </c>
      <c r="R2">
        <f t="shared" si="0"/>
        <v>5.28294000000001</v>
      </c>
    </row>
    <row r="3" spans="1:18">
      <c r="A3">
        <v>0.0367983890704346</v>
      </c>
      <c r="B3">
        <v>1.2158669208895</v>
      </c>
      <c r="C3">
        <v>-0.194153846153848</v>
      </c>
      <c r="D3">
        <v>397.881104615389</v>
      </c>
      <c r="E3" s="3" t="s">
        <v>19</v>
      </c>
      <c r="F3">
        <f t="shared" ref="F3:F32" si="1">$C3*F$1+$D3</f>
        <v>7.24356615384619</v>
      </c>
      <c r="G3">
        <f t="shared" ref="G3:G32" si="2">$C3*G$1+$D3</f>
        <v>7.04941230769236</v>
      </c>
      <c r="H3">
        <f t="shared" ref="H3:H32" si="3">$C3*H$1+$D3</f>
        <v>6.85525846153848</v>
      </c>
      <c r="I3">
        <f t="shared" ref="I3:I32" si="4">$C3*I$1+$D3</f>
        <v>6.66110461538466</v>
      </c>
      <c r="J3">
        <f t="shared" ref="J3:J32" si="5">$C3*J$1+$D3</f>
        <v>6.46695076923083</v>
      </c>
      <c r="K3">
        <f t="shared" ref="K3:K32" si="6">$C3*K$1+$D3</f>
        <v>6.27279692307695</v>
      </c>
      <c r="L3">
        <f t="shared" ref="L3:L32" si="7">$C3*L$1+$D3</f>
        <v>6.07864307692313</v>
      </c>
      <c r="M3">
        <f t="shared" ref="M3:M32" si="8">$C3*M$1+$D3</f>
        <v>5.88448923076925</v>
      </c>
      <c r="N3">
        <f t="shared" ref="N3:N32" si="9">$C3*N$1+$D3</f>
        <v>5.69033538461542</v>
      </c>
      <c r="O3">
        <f t="shared" ref="O3:O32" si="10">$C3*O$1+$D3</f>
        <v>5.49618153846154</v>
      </c>
      <c r="P3">
        <f t="shared" ref="P3:P32" si="11">$C3*P$1+$D3</f>
        <v>5.30202769230772</v>
      </c>
      <c r="Q3">
        <f t="shared" ref="Q3:Q32" si="12">$C3*Q$1+$D3</f>
        <v>5.10787384615389</v>
      </c>
      <c r="R3">
        <f t="shared" ref="R3:R32" si="13">$C3*R$1+$D3</f>
        <v>4.91372000000001</v>
      </c>
    </row>
    <row r="4" spans="1:18">
      <c r="A4">
        <v>0.000189566905184354</v>
      </c>
      <c r="B4">
        <v>1.64907593789539</v>
      </c>
      <c r="C4">
        <v>0.522417307692312</v>
      </c>
      <c r="D4">
        <v>-1045.56720846155</v>
      </c>
      <c r="E4" s="3" t="s">
        <v>20</v>
      </c>
      <c r="F4">
        <f t="shared" si="1"/>
        <v>5.5364146153845</v>
      </c>
      <c r="G4">
        <f t="shared" si="2"/>
        <v>6.05883192307692</v>
      </c>
      <c r="H4">
        <f t="shared" si="3"/>
        <v>6.58124923076912</v>
      </c>
      <c r="I4">
        <f t="shared" si="4"/>
        <v>7.10366653846154</v>
      </c>
      <c r="J4">
        <f t="shared" si="5"/>
        <v>7.62608384615373</v>
      </c>
      <c r="K4">
        <f t="shared" si="6"/>
        <v>8.14850115384615</v>
      </c>
      <c r="L4">
        <f t="shared" si="7"/>
        <v>8.67091846153835</v>
      </c>
      <c r="M4">
        <f t="shared" si="8"/>
        <v>9.19333576923077</v>
      </c>
      <c r="N4">
        <f t="shared" si="9"/>
        <v>9.71575307692297</v>
      </c>
      <c r="O4">
        <f t="shared" si="10"/>
        <v>10.2381703846154</v>
      </c>
      <c r="P4">
        <f t="shared" si="11"/>
        <v>10.7605876923078</v>
      </c>
      <c r="Q4">
        <f t="shared" si="12"/>
        <v>11.283005</v>
      </c>
      <c r="R4">
        <f t="shared" si="13"/>
        <v>11.8054223076924</v>
      </c>
    </row>
    <row r="5" spans="1:18">
      <c r="A5">
        <v>0.0369964661577646</v>
      </c>
      <c r="B5">
        <v>0.185904889644755</v>
      </c>
      <c r="C5">
        <v>0.0758215384615391</v>
      </c>
      <c r="D5">
        <v>-149.640649230771</v>
      </c>
      <c r="E5" s="3" t="s">
        <v>21</v>
      </c>
      <c r="F5">
        <f t="shared" si="1"/>
        <v>2.91228615384614</v>
      </c>
      <c r="G5">
        <f t="shared" si="2"/>
        <v>2.98810769230766</v>
      </c>
      <c r="H5">
        <f t="shared" si="3"/>
        <v>3.06392923076922</v>
      </c>
      <c r="I5">
        <f t="shared" si="4"/>
        <v>3.13975076923074</v>
      </c>
      <c r="J5">
        <f t="shared" si="5"/>
        <v>3.2155723076923</v>
      </c>
      <c r="K5">
        <f t="shared" si="6"/>
        <v>3.29139384615382</v>
      </c>
      <c r="L5">
        <f t="shared" si="7"/>
        <v>3.36721538461538</v>
      </c>
      <c r="M5">
        <f t="shared" si="8"/>
        <v>3.4430369230769</v>
      </c>
      <c r="N5">
        <f t="shared" si="9"/>
        <v>3.51885846153846</v>
      </c>
      <c r="O5">
        <f t="shared" si="10"/>
        <v>3.59467999999998</v>
      </c>
      <c r="P5">
        <f t="shared" si="11"/>
        <v>3.67050153846154</v>
      </c>
      <c r="Q5">
        <f t="shared" si="12"/>
        <v>3.74632307692306</v>
      </c>
      <c r="R5">
        <f t="shared" si="13"/>
        <v>3.82214461538462</v>
      </c>
    </row>
    <row r="6" spans="1:18">
      <c r="A6" s="4">
        <v>0.835562936471702</v>
      </c>
      <c r="B6">
        <v>0.380883436643956</v>
      </c>
      <c r="C6">
        <v>-0.00972362637362557</v>
      </c>
      <c r="D6">
        <v>21.9816949450533</v>
      </c>
      <c r="E6" s="3" t="s">
        <v>22</v>
      </c>
      <c r="F6">
        <f t="shared" si="1"/>
        <v>2.41775868131868</v>
      </c>
      <c r="G6">
        <f t="shared" si="2"/>
        <v>2.40803505494505</v>
      </c>
      <c r="H6">
        <f t="shared" si="3"/>
        <v>2.39831142857143</v>
      </c>
      <c r="I6">
        <f t="shared" si="4"/>
        <v>2.3885878021978</v>
      </c>
      <c r="J6">
        <f t="shared" si="5"/>
        <v>2.37886417582418</v>
      </c>
      <c r="K6">
        <f t="shared" si="6"/>
        <v>2.36914054945055</v>
      </c>
      <c r="L6">
        <f t="shared" si="7"/>
        <v>2.35941692307692</v>
      </c>
      <c r="M6">
        <f t="shared" si="8"/>
        <v>2.3496932967033</v>
      </c>
      <c r="N6">
        <f t="shared" si="9"/>
        <v>2.33996967032968</v>
      </c>
      <c r="O6">
        <f t="shared" si="10"/>
        <v>2.33024604395605</v>
      </c>
      <c r="P6">
        <f t="shared" si="11"/>
        <v>2.32052241758242</v>
      </c>
      <c r="Q6">
        <f t="shared" si="12"/>
        <v>2.3107987912088</v>
      </c>
      <c r="R6">
        <f t="shared" si="13"/>
        <v>2.30107516483517</v>
      </c>
    </row>
    <row r="7" spans="1:18">
      <c r="A7">
        <v>0.0139796049814864</v>
      </c>
      <c r="B7">
        <v>0.4001806769115</v>
      </c>
      <c r="C7">
        <v>0.136843516483517</v>
      </c>
      <c r="D7">
        <v>-270.31594934066</v>
      </c>
      <c r="E7" s="3" t="s">
        <v>23</v>
      </c>
      <c r="F7">
        <f t="shared" si="1"/>
        <v>5.01320582417577</v>
      </c>
      <c r="G7">
        <f t="shared" si="2"/>
        <v>5.15004934065928</v>
      </c>
      <c r="H7">
        <f t="shared" si="3"/>
        <v>5.28689285714279</v>
      </c>
      <c r="I7">
        <f t="shared" si="4"/>
        <v>5.42373637362635</v>
      </c>
      <c r="J7">
        <f t="shared" si="5"/>
        <v>5.56057989010986</v>
      </c>
      <c r="K7">
        <f t="shared" si="6"/>
        <v>5.69742340659337</v>
      </c>
      <c r="L7">
        <f t="shared" si="7"/>
        <v>5.83426692307688</v>
      </c>
      <c r="M7">
        <f t="shared" si="8"/>
        <v>5.97111043956039</v>
      </c>
      <c r="N7">
        <f t="shared" si="9"/>
        <v>6.1079539560439</v>
      </c>
      <c r="O7">
        <f t="shared" si="10"/>
        <v>6.24479747252741</v>
      </c>
      <c r="P7">
        <f t="shared" si="11"/>
        <v>6.38164098901092</v>
      </c>
      <c r="Q7">
        <f t="shared" si="12"/>
        <v>6.51848450549448</v>
      </c>
      <c r="R7">
        <f t="shared" si="13"/>
        <v>6.65532802197799</v>
      </c>
    </row>
    <row r="8" spans="1:18">
      <c r="A8">
        <v>0.00399551082957832</v>
      </c>
      <c r="B8">
        <v>0.133063460261892</v>
      </c>
      <c r="C8">
        <v>-0.098001153846154</v>
      </c>
      <c r="D8">
        <v>199.601913076923</v>
      </c>
      <c r="E8" s="3" t="s">
        <v>24</v>
      </c>
      <c r="F8">
        <f t="shared" si="1"/>
        <v>2.42359153846155</v>
      </c>
      <c r="G8">
        <f t="shared" si="2"/>
        <v>2.3255903846154</v>
      </c>
      <c r="H8">
        <f t="shared" si="3"/>
        <v>2.22758923076924</v>
      </c>
      <c r="I8">
        <f t="shared" si="4"/>
        <v>2.12958807692308</v>
      </c>
      <c r="J8">
        <f t="shared" si="5"/>
        <v>2.03158692307693</v>
      </c>
      <c r="K8">
        <f t="shared" si="6"/>
        <v>1.9335857692308</v>
      </c>
      <c r="L8">
        <f t="shared" si="7"/>
        <v>1.83558461538465</v>
      </c>
      <c r="M8">
        <f t="shared" si="8"/>
        <v>1.73758346153849</v>
      </c>
      <c r="N8">
        <f t="shared" si="9"/>
        <v>1.63958230769234</v>
      </c>
      <c r="O8">
        <f t="shared" si="10"/>
        <v>1.54158115384618</v>
      </c>
      <c r="P8">
        <f t="shared" si="11"/>
        <v>1.44358000000003</v>
      </c>
      <c r="Q8">
        <f t="shared" si="12"/>
        <v>1.34557884615387</v>
      </c>
      <c r="R8">
        <f t="shared" si="13"/>
        <v>1.24757769230771</v>
      </c>
    </row>
    <row r="9" spans="1:18">
      <c r="A9">
        <v>0.0176209022676504</v>
      </c>
      <c r="B9">
        <v>0.564462996767627</v>
      </c>
      <c r="C9">
        <v>-0.155316043956043</v>
      </c>
      <c r="D9">
        <v>315.948095934065</v>
      </c>
      <c r="E9" s="3" t="s">
        <v>25</v>
      </c>
      <c r="F9">
        <f t="shared" si="1"/>
        <v>3.45221549450554</v>
      </c>
      <c r="G9">
        <f t="shared" si="2"/>
        <v>3.29689945054946</v>
      </c>
      <c r="H9">
        <f t="shared" si="3"/>
        <v>3.14158340659344</v>
      </c>
      <c r="I9">
        <f t="shared" si="4"/>
        <v>2.98626736263736</v>
      </c>
      <c r="J9">
        <f t="shared" si="5"/>
        <v>2.83095131868134</v>
      </c>
      <c r="K9">
        <f t="shared" si="6"/>
        <v>2.67563527472532</v>
      </c>
      <c r="L9">
        <f t="shared" si="7"/>
        <v>2.52031923076925</v>
      </c>
      <c r="M9">
        <f t="shared" si="8"/>
        <v>2.36500318681323</v>
      </c>
      <c r="N9">
        <f t="shared" si="9"/>
        <v>2.20968714285715</v>
      </c>
      <c r="O9">
        <f t="shared" si="10"/>
        <v>2.05437109890113</v>
      </c>
      <c r="P9">
        <f t="shared" si="11"/>
        <v>1.89905505494511</v>
      </c>
      <c r="Q9">
        <f t="shared" si="12"/>
        <v>1.74373901098903</v>
      </c>
      <c r="R9">
        <f t="shared" si="13"/>
        <v>1.58842296703301</v>
      </c>
    </row>
    <row r="10" spans="1:18">
      <c r="A10">
        <v>0.0246191334680657</v>
      </c>
      <c r="B10">
        <v>0.77022056778981</v>
      </c>
      <c r="C10">
        <v>0.169250329670331</v>
      </c>
      <c r="D10">
        <v>-332.066149120881</v>
      </c>
      <c r="E10" s="3" t="s">
        <v>26</v>
      </c>
      <c r="F10">
        <f t="shared" si="1"/>
        <v>8.46551417582413</v>
      </c>
      <c r="G10">
        <f t="shared" si="2"/>
        <v>8.63476450549445</v>
      </c>
      <c r="H10">
        <f t="shared" si="3"/>
        <v>8.80401483516476</v>
      </c>
      <c r="I10">
        <f t="shared" si="4"/>
        <v>8.97326516483508</v>
      </c>
      <c r="J10">
        <f t="shared" si="5"/>
        <v>9.14251549450546</v>
      </c>
      <c r="K10">
        <f t="shared" si="6"/>
        <v>9.31176582417578</v>
      </c>
      <c r="L10">
        <f t="shared" si="7"/>
        <v>9.4810161538461</v>
      </c>
      <c r="M10">
        <f t="shared" si="8"/>
        <v>9.65026648351642</v>
      </c>
      <c r="N10">
        <f t="shared" si="9"/>
        <v>9.81951681318674</v>
      </c>
      <c r="O10">
        <f t="shared" si="10"/>
        <v>9.98876714285711</v>
      </c>
      <c r="P10">
        <f t="shared" si="11"/>
        <v>10.1580174725274</v>
      </c>
      <c r="Q10">
        <f t="shared" si="12"/>
        <v>10.3272678021978</v>
      </c>
      <c r="R10">
        <f t="shared" si="13"/>
        <v>10.4965181318681</v>
      </c>
    </row>
    <row r="11" spans="1:18">
      <c r="A11">
        <v>2.04995927368121e-7</v>
      </c>
      <c r="B11">
        <v>14.4136024587113</v>
      </c>
      <c r="C11">
        <v>3.19524291208793</v>
      </c>
      <c r="D11">
        <v>-6395.99903505498</v>
      </c>
      <c r="E11" s="3" t="s">
        <v>27</v>
      </c>
      <c r="F11">
        <f t="shared" si="1"/>
        <v>32.8297040659336</v>
      </c>
      <c r="G11">
        <f t="shared" si="2"/>
        <v>36.0249469780219</v>
      </c>
      <c r="H11">
        <f t="shared" si="3"/>
        <v>39.2201898901094</v>
      </c>
      <c r="I11">
        <f t="shared" si="4"/>
        <v>42.4154328021978</v>
      </c>
      <c r="J11">
        <f t="shared" si="5"/>
        <v>45.6106757142852</v>
      </c>
      <c r="K11">
        <f t="shared" si="6"/>
        <v>48.8059186263736</v>
      </c>
      <c r="L11">
        <f t="shared" si="7"/>
        <v>52.001161538461</v>
      </c>
      <c r="M11">
        <f t="shared" si="8"/>
        <v>55.1964044505494</v>
      </c>
      <c r="N11">
        <f t="shared" si="9"/>
        <v>58.3916473626368</v>
      </c>
      <c r="O11">
        <f t="shared" si="10"/>
        <v>61.5868902747252</v>
      </c>
      <c r="P11">
        <f t="shared" si="11"/>
        <v>64.7821331868126</v>
      </c>
      <c r="Q11">
        <f t="shared" si="12"/>
        <v>67.977376098901</v>
      </c>
      <c r="R11">
        <f t="shared" si="13"/>
        <v>71.1726190109885</v>
      </c>
    </row>
    <row r="12" spans="1:18">
      <c r="A12">
        <v>1.75035480855401e-8</v>
      </c>
      <c r="B12">
        <v>10.5870759172548</v>
      </c>
      <c r="C12">
        <v>3.47303093406595</v>
      </c>
      <c r="D12">
        <v>-6967.15589340664</v>
      </c>
      <c r="E12" s="3" t="s">
        <v>28</v>
      </c>
      <c r="F12">
        <f t="shared" si="1"/>
        <v>20.5823459340654</v>
      </c>
      <c r="G12">
        <f t="shared" si="2"/>
        <v>24.0553768681311</v>
      </c>
      <c r="H12">
        <f t="shared" si="3"/>
        <v>27.5284078021969</v>
      </c>
      <c r="I12">
        <f t="shared" si="4"/>
        <v>31.0014387362626</v>
      </c>
      <c r="J12">
        <f t="shared" si="5"/>
        <v>34.4744696703292</v>
      </c>
      <c r="K12">
        <f t="shared" si="6"/>
        <v>37.9475006043949</v>
      </c>
      <c r="L12">
        <f t="shared" si="7"/>
        <v>41.4205315384606</v>
      </c>
      <c r="M12">
        <f t="shared" si="8"/>
        <v>44.8935624725264</v>
      </c>
      <c r="N12">
        <f t="shared" si="9"/>
        <v>48.366593406593</v>
      </c>
      <c r="O12">
        <f t="shared" si="10"/>
        <v>51.8396243406587</v>
      </c>
      <c r="P12">
        <f t="shared" si="11"/>
        <v>55.3126552747244</v>
      </c>
      <c r="Q12">
        <f t="shared" si="12"/>
        <v>58.785686208791</v>
      </c>
      <c r="R12">
        <f t="shared" si="13"/>
        <v>62.2587171428568</v>
      </c>
    </row>
    <row r="13" spans="1:18">
      <c r="A13">
        <v>2.48857292275833e-7</v>
      </c>
      <c r="B13">
        <v>1.86285195502856</v>
      </c>
      <c r="C13">
        <v>1.12704362637363</v>
      </c>
      <c r="D13">
        <v>-2261.40701186814</v>
      </c>
      <c r="E13" s="3" t="s">
        <v>29</v>
      </c>
      <c r="F13">
        <f t="shared" si="1"/>
        <v>6.20476439560389</v>
      </c>
      <c r="G13">
        <f t="shared" si="2"/>
        <v>7.33180802197739</v>
      </c>
      <c r="H13">
        <f t="shared" si="3"/>
        <v>8.45885164835136</v>
      </c>
      <c r="I13">
        <f t="shared" si="4"/>
        <v>9.58589527472486</v>
      </c>
      <c r="J13">
        <f t="shared" si="5"/>
        <v>10.7129389010984</v>
      </c>
      <c r="K13">
        <f t="shared" si="6"/>
        <v>11.8399825274719</v>
      </c>
      <c r="L13">
        <f t="shared" si="7"/>
        <v>12.9670261538458</v>
      </c>
      <c r="M13">
        <f t="shared" si="8"/>
        <v>14.0940697802193</v>
      </c>
      <c r="N13">
        <f t="shared" si="9"/>
        <v>15.2211134065928</v>
      </c>
      <c r="O13">
        <f t="shared" si="10"/>
        <v>16.3481570329668</v>
      </c>
      <c r="P13">
        <f t="shared" si="11"/>
        <v>17.4752006593403</v>
      </c>
      <c r="Q13">
        <f t="shared" si="12"/>
        <v>18.6022442857138</v>
      </c>
      <c r="R13">
        <f t="shared" si="13"/>
        <v>19.7292879120873</v>
      </c>
    </row>
    <row r="14" spans="1:18">
      <c r="A14">
        <v>5.50227758310145e-6</v>
      </c>
      <c r="B14">
        <v>3.32821399298449</v>
      </c>
      <c r="C14">
        <v>1.10148450549451</v>
      </c>
      <c r="D14">
        <v>-2208.91729670331</v>
      </c>
      <c r="E14" s="3" t="s">
        <v>30</v>
      </c>
      <c r="F14">
        <f t="shared" si="1"/>
        <v>7.2695283516482</v>
      </c>
      <c r="G14">
        <f t="shared" si="2"/>
        <v>8.37101285714243</v>
      </c>
      <c r="H14">
        <f t="shared" si="3"/>
        <v>9.47249736263711</v>
      </c>
      <c r="I14">
        <f t="shared" si="4"/>
        <v>10.5739818681313</v>
      </c>
      <c r="J14">
        <f t="shared" si="5"/>
        <v>11.675466373626</v>
      </c>
      <c r="K14">
        <f t="shared" si="6"/>
        <v>12.7769508791207</v>
      </c>
      <c r="L14">
        <f t="shared" si="7"/>
        <v>13.8784353846149</v>
      </c>
      <c r="M14">
        <f t="shared" si="8"/>
        <v>14.9799198901096</v>
      </c>
      <c r="N14">
        <f t="shared" si="9"/>
        <v>16.0814043956043</v>
      </c>
      <c r="O14">
        <f t="shared" si="10"/>
        <v>17.1828889010985</v>
      </c>
      <c r="P14">
        <f t="shared" si="11"/>
        <v>18.2843734065932</v>
      </c>
      <c r="Q14">
        <f t="shared" si="12"/>
        <v>19.3858579120874</v>
      </c>
      <c r="R14">
        <f t="shared" si="13"/>
        <v>20.4873424175821</v>
      </c>
    </row>
    <row r="15" spans="1:18">
      <c r="A15">
        <v>7.10080828559094e-8</v>
      </c>
      <c r="B15">
        <v>1.01136183575225</v>
      </c>
      <c r="C15">
        <v>0.938408351648357</v>
      </c>
      <c r="D15">
        <v>-1886.86686516485</v>
      </c>
      <c r="E15" s="3" t="s">
        <v>31</v>
      </c>
      <c r="F15">
        <f t="shared" si="1"/>
        <v>1.21073835164793</v>
      </c>
      <c r="G15">
        <f t="shared" si="2"/>
        <v>2.14914670329631</v>
      </c>
      <c r="H15">
        <f t="shared" si="3"/>
        <v>3.08755505494469</v>
      </c>
      <c r="I15">
        <f t="shared" si="4"/>
        <v>4.02596340659306</v>
      </c>
      <c r="J15">
        <f t="shared" si="5"/>
        <v>4.96437175824144</v>
      </c>
      <c r="K15">
        <f t="shared" si="6"/>
        <v>5.90278010988982</v>
      </c>
      <c r="L15">
        <f t="shared" si="7"/>
        <v>6.8411884615382</v>
      </c>
      <c r="M15">
        <f t="shared" si="8"/>
        <v>7.77959681318657</v>
      </c>
      <c r="N15">
        <f t="shared" si="9"/>
        <v>8.71800516483495</v>
      </c>
      <c r="O15">
        <f t="shared" si="10"/>
        <v>9.6564135164831</v>
      </c>
      <c r="P15">
        <f t="shared" si="11"/>
        <v>10.5948218681315</v>
      </c>
      <c r="Q15">
        <f t="shared" si="12"/>
        <v>11.5332302197799</v>
      </c>
      <c r="R15">
        <f t="shared" si="13"/>
        <v>12.4716385714282</v>
      </c>
    </row>
    <row r="16" spans="1:18">
      <c r="A16">
        <v>0.000405266160457478</v>
      </c>
      <c r="B16">
        <v>26.2803665670605</v>
      </c>
      <c r="C16">
        <v>1.89835214285715</v>
      </c>
      <c r="D16">
        <v>-3802.40619043958</v>
      </c>
      <c r="E16" s="3" t="s">
        <v>32</v>
      </c>
      <c r="F16">
        <f t="shared" si="1"/>
        <v>17.0783209890105</v>
      </c>
      <c r="G16">
        <f t="shared" si="2"/>
        <v>18.9766731318678</v>
      </c>
      <c r="H16">
        <f t="shared" si="3"/>
        <v>20.875025274725</v>
      </c>
      <c r="I16">
        <f t="shared" si="4"/>
        <v>22.7733774175822</v>
      </c>
      <c r="J16">
        <f t="shared" si="5"/>
        <v>24.6717295604394</v>
      </c>
      <c r="K16">
        <f t="shared" si="6"/>
        <v>26.5700817032966</v>
      </c>
      <c r="L16">
        <f t="shared" si="7"/>
        <v>28.4684338461534</v>
      </c>
      <c r="M16">
        <f t="shared" si="8"/>
        <v>30.3667859890106</v>
      </c>
      <c r="N16">
        <f t="shared" si="9"/>
        <v>32.2651381318678</v>
      </c>
      <c r="O16">
        <f t="shared" si="10"/>
        <v>34.1634902747251</v>
      </c>
      <c r="P16">
        <f t="shared" si="11"/>
        <v>36.0618424175823</v>
      </c>
      <c r="Q16">
        <f t="shared" si="12"/>
        <v>37.9601945604395</v>
      </c>
      <c r="R16">
        <f t="shared" si="13"/>
        <v>39.8585467032967</v>
      </c>
    </row>
    <row r="17" spans="1:18">
      <c r="A17">
        <v>1.56392158832616e-5</v>
      </c>
      <c r="B17">
        <v>1.45092906531704</v>
      </c>
      <c r="C17">
        <v>0.650840164835167</v>
      </c>
      <c r="D17">
        <v>-1298.8861534066</v>
      </c>
      <c r="E17" s="3" t="s">
        <v>33</v>
      </c>
      <c r="F17">
        <f t="shared" si="1"/>
        <v>10.6042582417581</v>
      </c>
      <c r="G17">
        <f t="shared" si="2"/>
        <v>11.2550984065933</v>
      </c>
      <c r="H17">
        <f t="shared" si="3"/>
        <v>11.9059385714286</v>
      </c>
      <c r="I17">
        <f t="shared" si="4"/>
        <v>12.5567787362636</v>
      </c>
      <c r="J17">
        <f t="shared" si="5"/>
        <v>13.2076189010988</v>
      </c>
      <c r="K17">
        <f t="shared" si="6"/>
        <v>13.8584590659341</v>
      </c>
      <c r="L17">
        <f t="shared" si="7"/>
        <v>14.5092992307691</v>
      </c>
      <c r="M17">
        <f t="shared" si="8"/>
        <v>15.1601393956043</v>
      </c>
      <c r="N17">
        <f t="shared" si="9"/>
        <v>15.8109795604396</v>
      </c>
      <c r="O17">
        <f t="shared" si="10"/>
        <v>16.4618197252746</v>
      </c>
      <c r="P17">
        <f t="shared" si="11"/>
        <v>17.1126598901099</v>
      </c>
      <c r="Q17">
        <f t="shared" si="12"/>
        <v>17.7635000549451</v>
      </c>
      <c r="R17">
        <f t="shared" si="13"/>
        <v>18.4143402197801</v>
      </c>
    </row>
    <row r="18" spans="1:18">
      <c r="A18">
        <v>2.29077430918349e-6</v>
      </c>
      <c r="B18">
        <v>2.34889428356469</v>
      </c>
      <c r="C18">
        <v>1.01319675824176</v>
      </c>
      <c r="D18">
        <v>-2032.4355235165</v>
      </c>
      <c r="E18" s="3" t="s">
        <v>34</v>
      </c>
      <c r="F18">
        <f t="shared" si="1"/>
        <v>6.11635406593382</v>
      </c>
      <c r="G18">
        <f t="shared" si="2"/>
        <v>7.12955082417557</v>
      </c>
      <c r="H18">
        <f t="shared" si="3"/>
        <v>8.14274758241731</v>
      </c>
      <c r="I18">
        <f t="shared" si="4"/>
        <v>9.15594434065906</v>
      </c>
      <c r="J18">
        <f t="shared" si="5"/>
        <v>10.169141098901</v>
      </c>
      <c r="K18">
        <f t="shared" si="6"/>
        <v>11.1823378571428</v>
      </c>
      <c r="L18">
        <f t="shared" si="7"/>
        <v>12.1955346153845</v>
      </c>
      <c r="M18">
        <f t="shared" si="8"/>
        <v>13.2087313736263</v>
      </c>
      <c r="N18">
        <f t="shared" si="9"/>
        <v>14.221928131868</v>
      </c>
      <c r="O18">
        <f t="shared" si="10"/>
        <v>15.2351248901098</v>
      </c>
      <c r="P18">
        <f t="shared" si="11"/>
        <v>16.2483216483515</v>
      </c>
      <c r="Q18">
        <f t="shared" si="12"/>
        <v>17.2615184065935</v>
      </c>
      <c r="R18">
        <f t="shared" si="13"/>
        <v>18.274715164835</v>
      </c>
    </row>
    <row r="19" spans="1:18">
      <c r="A19">
        <v>2.82355657916565e-6</v>
      </c>
      <c r="B19">
        <v>3.37119139486392</v>
      </c>
      <c r="C19">
        <v>1.18803983516484</v>
      </c>
      <c r="D19">
        <v>-2385.52207120881</v>
      </c>
      <c r="E19" s="3" t="s">
        <v>35</v>
      </c>
      <c r="F19">
        <f t="shared" si="1"/>
        <v>4.8140771428566</v>
      </c>
      <c r="G19">
        <f t="shared" si="2"/>
        <v>6.0021169780216</v>
      </c>
      <c r="H19">
        <f t="shared" si="3"/>
        <v>7.1901568131866</v>
      </c>
      <c r="I19">
        <f t="shared" si="4"/>
        <v>8.37819664835115</v>
      </c>
      <c r="J19">
        <f t="shared" si="5"/>
        <v>9.56623648351615</v>
      </c>
      <c r="K19">
        <f t="shared" si="6"/>
        <v>10.7542763186811</v>
      </c>
      <c r="L19">
        <f t="shared" si="7"/>
        <v>11.9423161538457</v>
      </c>
      <c r="M19">
        <f t="shared" si="8"/>
        <v>13.1303559890107</v>
      </c>
      <c r="N19">
        <f t="shared" si="9"/>
        <v>14.3183958241757</v>
      </c>
      <c r="O19">
        <f t="shared" si="10"/>
        <v>15.5064356593402</v>
      </c>
      <c r="P19">
        <f t="shared" si="11"/>
        <v>16.6944754945052</v>
      </c>
      <c r="Q19">
        <f t="shared" si="12"/>
        <v>17.8825153296702</v>
      </c>
      <c r="R19">
        <f t="shared" si="13"/>
        <v>19.0705551648348</v>
      </c>
    </row>
    <row r="20" spans="1:18">
      <c r="A20">
        <v>8.74519461704414e-7</v>
      </c>
      <c r="B20">
        <v>38.0955119977674</v>
      </c>
      <c r="C20">
        <v>4.49872703296706</v>
      </c>
      <c r="D20">
        <v>-9018.36876483522</v>
      </c>
      <c r="E20" s="3" t="s">
        <v>36</v>
      </c>
      <c r="F20">
        <f t="shared" si="1"/>
        <v>33.0700254945041</v>
      </c>
      <c r="G20">
        <f t="shared" si="2"/>
        <v>37.5687525274716</v>
      </c>
      <c r="H20">
        <f t="shared" si="3"/>
        <v>42.0674795604373</v>
      </c>
      <c r="I20">
        <f t="shared" si="4"/>
        <v>46.5662065934048</v>
      </c>
      <c r="J20">
        <f t="shared" si="5"/>
        <v>51.0649336263723</v>
      </c>
      <c r="K20">
        <f t="shared" si="6"/>
        <v>55.5636606593398</v>
      </c>
      <c r="L20">
        <f t="shared" si="7"/>
        <v>60.0623876923055</v>
      </c>
      <c r="M20">
        <f t="shared" si="8"/>
        <v>64.561114725273</v>
      </c>
      <c r="N20">
        <f t="shared" si="9"/>
        <v>69.0598417582405</v>
      </c>
      <c r="O20">
        <f t="shared" si="10"/>
        <v>73.558568791208</v>
      </c>
      <c r="P20">
        <f t="shared" si="11"/>
        <v>78.0572958241737</v>
      </c>
      <c r="Q20">
        <f t="shared" si="12"/>
        <v>82.5560228571412</v>
      </c>
      <c r="R20">
        <f t="shared" si="13"/>
        <v>87.0547498901087</v>
      </c>
    </row>
    <row r="21" spans="1:18">
      <c r="A21">
        <v>0.00340887742599639</v>
      </c>
      <c r="B21">
        <v>0.358788586008389</v>
      </c>
      <c r="C21">
        <v>0.164964615384617</v>
      </c>
      <c r="D21">
        <v>-330.418362307695</v>
      </c>
      <c r="E21" s="3" t="s">
        <v>37</v>
      </c>
      <c r="F21">
        <f t="shared" si="1"/>
        <v>1.49044384615382</v>
      </c>
      <c r="G21">
        <f t="shared" si="2"/>
        <v>1.6554084615384</v>
      </c>
      <c r="H21">
        <f t="shared" si="3"/>
        <v>1.82037307692303</v>
      </c>
      <c r="I21">
        <f t="shared" si="4"/>
        <v>1.98533769230767</v>
      </c>
      <c r="J21">
        <f t="shared" si="5"/>
        <v>2.15030230769224</v>
      </c>
      <c r="K21">
        <f t="shared" si="6"/>
        <v>2.31526692307688</v>
      </c>
      <c r="L21">
        <f t="shared" si="7"/>
        <v>2.48023153846151</v>
      </c>
      <c r="M21">
        <f t="shared" si="8"/>
        <v>2.64519615384614</v>
      </c>
      <c r="N21">
        <f t="shared" si="9"/>
        <v>2.81016076923072</v>
      </c>
      <c r="O21">
        <f t="shared" si="10"/>
        <v>2.97512538461535</v>
      </c>
      <c r="P21">
        <f t="shared" si="11"/>
        <v>3.14008999999999</v>
      </c>
      <c r="Q21">
        <f t="shared" si="12"/>
        <v>3.30505461538456</v>
      </c>
      <c r="R21">
        <f t="shared" si="13"/>
        <v>3.4700192307692</v>
      </c>
    </row>
    <row r="22" spans="1:18">
      <c r="A22">
        <v>0.0990510072277698</v>
      </c>
      <c r="B22">
        <v>0.011909486186963</v>
      </c>
      <c r="C22">
        <v>0.0145736813186814</v>
      </c>
      <c r="D22">
        <v>-29.0984435164837</v>
      </c>
      <c r="E22" s="3" t="s">
        <v>38</v>
      </c>
      <c r="F22">
        <f t="shared" si="1"/>
        <v>0.223803296703295</v>
      </c>
      <c r="G22">
        <f t="shared" si="2"/>
        <v>0.238376978021979</v>
      </c>
      <c r="H22">
        <f t="shared" si="3"/>
        <v>0.252950659340659</v>
      </c>
      <c r="I22">
        <f t="shared" si="4"/>
        <v>0.267524340659342</v>
      </c>
      <c r="J22">
        <f t="shared" si="5"/>
        <v>0.282098021978022</v>
      </c>
      <c r="K22">
        <f t="shared" si="6"/>
        <v>0.296671703296703</v>
      </c>
      <c r="L22">
        <f t="shared" si="7"/>
        <v>0.311245384615386</v>
      </c>
      <c r="M22">
        <f t="shared" si="8"/>
        <v>0.325819065934066</v>
      </c>
      <c r="N22">
        <f t="shared" si="9"/>
        <v>0.340392747252746</v>
      </c>
      <c r="O22">
        <f t="shared" si="10"/>
        <v>0.35496642857143</v>
      </c>
      <c r="P22">
        <f t="shared" si="11"/>
        <v>0.36954010989011</v>
      </c>
      <c r="Q22">
        <f t="shared" si="12"/>
        <v>0.384113791208794</v>
      </c>
      <c r="R22">
        <f t="shared" si="13"/>
        <v>0.398687472527474</v>
      </c>
    </row>
    <row r="23" spans="1:18">
      <c r="A23">
        <v>9.20556696197413e-11</v>
      </c>
      <c r="B23">
        <v>0.0880159287636373</v>
      </c>
      <c r="C23">
        <v>0.517864615384617</v>
      </c>
      <c r="D23">
        <v>-1038.88274076923</v>
      </c>
      <c r="E23" s="3" t="s">
        <v>39</v>
      </c>
      <c r="F23">
        <f t="shared" si="1"/>
        <v>3.06086538461523</v>
      </c>
      <c r="G23">
        <f t="shared" si="2"/>
        <v>3.57872999999972</v>
      </c>
      <c r="H23">
        <f t="shared" si="3"/>
        <v>4.09659461538445</v>
      </c>
      <c r="I23">
        <f t="shared" si="4"/>
        <v>4.61445923076917</v>
      </c>
      <c r="J23">
        <f t="shared" si="5"/>
        <v>5.13232384615367</v>
      </c>
      <c r="K23">
        <f t="shared" si="6"/>
        <v>5.65018846153839</v>
      </c>
      <c r="L23">
        <f t="shared" si="7"/>
        <v>6.16805307692289</v>
      </c>
      <c r="M23">
        <f t="shared" si="8"/>
        <v>6.68591769230761</v>
      </c>
      <c r="N23">
        <f t="shared" si="9"/>
        <v>7.20378230769211</v>
      </c>
      <c r="O23">
        <f t="shared" si="10"/>
        <v>7.72164692307683</v>
      </c>
      <c r="P23">
        <f t="shared" si="11"/>
        <v>8.23951153846133</v>
      </c>
      <c r="Q23">
        <f t="shared" si="12"/>
        <v>8.75737615384605</v>
      </c>
      <c r="R23">
        <f t="shared" si="13"/>
        <v>9.27524076923055</v>
      </c>
    </row>
    <row r="24" spans="1:18">
      <c r="A24">
        <v>7.9329120140562e-7</v>
      </c>
      <c r="B24">
        <v>0.935128161662516</v>
      </c>
      <c r="C24">
        <v>0.711761373626378</v>
      </c>
      <c r="D24">
        <v>-1427.96371967034</v>
      </c>
      <c r="E24" s="3" t="s">
        <v>40</v>
      </c>
      <c r="F24">
        <f t="shared" si="1"/>
        <v>4.10016406593377</v>
      </c>
      <c r="G24">
        <f t="shared" si="2"/>
        <v>4.81192543956013</v>
      </c>
      <c r="H24">
        <f t="shared" si="3"/>
        <v>5.52368681318649</v>
      </c>
      <c r="I24">
        <f t="shared" si="4"/>
        <v>6.23544818681285</v>
      </c>
      <c r="J24">
        <f t="shared" si="5"/>
        <v>6.94720956043921</v>
      </c>
      <c r="K24">
        <f t="shared" si="6"/>
        <v>7.65897093406556</v>
      </c>
      <c r="L24">
        <f t="shared" si="7"/>
        <v>8.37073230769215</v>
      </c>
      <c r="M24">
        <f t="shared" si="8"/>
        <v>9.08249368131851</v>
      </c>
      <c r="N24">
        <f t="shared" si="9"/>
        <v>9.79425505494487</v>
      </c>
      <c r="O24">
        <f t="shared" si="10"/>
        <v>10.5060164285712</v>
      </c>
      <c r="P24">
        <f t="shared" si="11"/>
        <v>11.2177778021976</v>
      </c>
      <c r="Q24">
        <f t="shared" si="12"/>
        <v>11.9295391758239</v>
      </c>
      <c r="R24">
        <f t="shared" si="13"/>
        <v>12.6413005494503</v>
      </c>
    </row>
    <row r="25" spans="1:18">
      <c r="A25">
        <v>4.92089931136633e-8</v>
      </c>
      <c r="B25">
        <v>0.0248742932627339</v>
      </c>
      <c r="C25">
        <v>0.152469890109891</v>
      </c>
      <c r="D25">
        <v>-305.56169901099</v>
      </c>
      <c r="E25" s="3" t="s">
        <v>41</v>
      </c>
      <c r="F25">
        <f t="shared" si="1"/>
        <v>1.20771989010984</v>
      </c>
      <c r="G25">
        <f t="shared" si="2"/>
        <v>1.36018978021974</v>
      </c>
      <c r="H25">
        <f t="shared" si="3"/>
        <v>1.51265967032964</v>
      </c>
      <c r="I25">
        <f t="shared" si="4"/>
        <v>1.66512956043954</v>
      </c>
      <c r="J25">
        <f t="shared" si="5"/>
        <v>1.81759945054938</v>
      </c>
      <c r="K25">
        <f t="shared" si="6"/>
        <v>1.97006934065928</v>
      </c>
      <c r="L25">
        <f t="shared" si="7"/>
        <v>2.12253923076918</v>
      </c>
      <c r="M25">
        <f t="shared" si="8"/>
        <v>2.27500912087908</v>
      </c>
      <c r="N25">
        <f t="shared" si="9"/>
        <v>2.42747901098897</v>
      </c>
      <c r="O25">
        <f t="shared" si="10"/>
        <v>2.57994890109887</v>
      </c>
      <c r="P25">
        <f t="shared" si="11"/>
        <v>2.73241879120877</v>
      </c>
      <c r="Q25">
        <f t="shared" si="12"/>
        <v>2.88488868131861</v>
      </c>
      <c r="R25">
        <f t="shared" si="13"/>
        <v>3.03735857142851</v>
      </c>
    </row>
    <row r="26" spans="1:18">
      <c r="A26">
        <v>5.30795243117907e-8</v>
      </c>
      <c r="B26">
        <v>0.0517760032924546</v>
      </c>
      <c r="C26">
        <v>0.218375879120881</v>
      </c>
      <c r="D26">
        <v>-438.343470219783</v>
      </c>
      <c r="E26" s="3" t="s">
        <v>42</v>
      </c>
      <c r="F26">
        <f t="shared" si="1"/>
        <v>1.02879857142852</v>
      </c>
      <c r="G26">
        <f t="shared" si="2"/>
        <v>1.24717445054938</v>
      </c>
      <c r="H26">
        <f t="shared" si="3"/>
        <v>1.46555032967024</v>
      </c>
      <c r="I26">
        <f t="shared" si="4"/>
        <v>1.68392620879115</v>
      </c>
      <c r="J26">
        <f t="shared" si="5"/>
        <v>1.90230208791201</v>
      </c>
      <c r="K26">
        <f t="shared" si="6"/>
        <v>2.12067796703292</v>
      </c>
      <c r="L26">
        <f t="shared" si="7"/>
        <v>2.33905384615377</v>
      </c>
      <c r="M26">
        <f t="shared" si="8"/>
        <v>2.55742972527469</v>
      </c>
      <c r="N26">
        <f t="shared" si="9"/>
        <v>2.77580560439554</v>
      </c>
      <c r="O26">
        <f t="shared" si="10"/>
        <v>2.9941814835164</v>
      </c>
      <c r="P26">
        <f t="shared" si="11"/>
        <v>3.21255736263731</v>
      </c>
      <c r="Q26">
        <f t="shared" si="12"/>
        <v>3.43093324175817</v>
      </c>
      <c r="R26">
        <f t="shared" si="13"/>
        <v>3.64930912087908</v>
      </c>
    </row>
    <row r="27" spans="1:18">
      <c r="A27">
        <v>0.00460992621951061</v>
      </c>
      <c r="B27">
        <v>4.22695688311684e-5</v>
      </c>
      <c r="C27">
        <v>0.00170736263736264</v>
      </c>
      <c r="D27">
        <v>-3.42608241758242</v>
      </c>
      <c r="E27" s="3" t="s">
        <v>43</v>
      </c>
      <c r="F27">
        <f t="shared" si="1"/>
        <v>0.00913120879120832</v>
      </c>
      <c r="G27">
        <f t="shared" si="2"/>
        <v>0.0108385714285713</v>
      </c>
      <c r="H27">
        <f t="shared" si="3"/>
        <v>0.0125459340659337</v>
      </c>
      <c r="I27">
        <f t="shared" si="4"/>
        <v>0.0142532967032967</v>
      </c>
      <c r="J27">
        <f t="shared" si="5"/>
        <v>0.0159606593406592</v>
      </c>
      <c r="K27">
        <f t="shared" si="6"/>
        <v>0.0176680219780216</v>
      </c>
      <c r="L27">
        <f t="shared" si="7"/>
        <v>0.0193753846153846</v>
      </c>
      <c r="M27">
        <f t="shared" si="8"/>
        <v>0.0210827472527471</v>
      </c>
      <c r="N27">
        <f t="shared" si="9"/>
        <v>0.0227901098901095</v>
      </c>
      <c r="O27">
        <f t="shared" si="10"/>
        <v>0.0244974725274725</v>
      </c>
      <c r="P27">
        <f t="shared" si="11"/>
        <v>0.026204835164835</v>
      </c>
      <c r="Q27">
        <f t="shared" si="12"/>
        <v>0.0279121978021974</v>
      </c>
      <c r="R27">
        <f t="shared" si="13"/>
        <v>0.0296195604395604</v>
      </c>
    </row>
    <row r="28" spans="1:18">
      <c r="A28">
        <v>0.00213895389367691</v>
      </c>
      <c r="B28">
        <v>0.688416280114292</v>
      </c>
      <c r="C28">
        <v>0.245110329670332</v>
      </c>
      <c r="D28">
        <v>-489.540762197806</v>
      </c>
      <c r="E28" s="3" t="s">
        <v>44</v>
      </c>
      <c r="F28">
        <f t="shared" si="1"/>
        <v>3.62122109890106</v>
      </c>
      <c r="G28">
        <f t="shared" si="2"/>
        <v>3.86633142857136</v>
      </c>
      <c r="H28">
        <f t="shared" si="3"/>
        <v>4.11144175824171</v>
      </c>
      <c r="I28">
        <f t="shared" si="4"/>
        <v>4.35655208791206</v>
      </c>
      <c r="J28">
        <f t="shared" si="5"/>
        <v>4.60166241758236</v>
      </c>
      <c r="K28">
        <f t="shared" si="6"/>
        <v>4.84677274725271</v>
      </c>
      <c r="L28">
        <f t="shared" si="7"/>
        <v>5.09188307692307</v>
      </c>
      <c r="M28">
        <f t="shared" si="8"/>
        <v>5.33699340659336</v>
      </c>
      <c r="N28">
        <f t="shared" si="9"/>
        <v>5.58210373626372</v>
      </c>
      <c r="O28">
        <f t="shared" si="10"/>
        <v>5.82721406593402</v>
      </c>
      <c r="P28">
        <f t="shared" si="11"/>
        <v>6.07232439560437</v>
      </c>
      <c r="Q28">
        <f t="shared" si="12"/>
        <v>6.31743472527472</v>
      </c>
      <c r="R28">
        <f t="shared" si="13"/>
        <v>6.56254505494502</v>
      </c>
    </row>
    <row r="29" spans="1:18">
      <c r="A29" s="4">
        <v>0.167528411188437</v>
      </c>
      <c r="B29">
        <v>0.108648852921827</v>
      </c>
      <c r="C29">
        <v>0.0361056593406597</v>
      </c>
      <c r="D29">
        <v>-71.6073920879128</v>
      </c>
      <c r="E29" s="3" t="s">
        <v>45</v>
      </c>
      <c r="F29">
        <f t="shared" si="1"/>
        <v>1.0371945054945</v>
      </c>
      <c r="G29">
        <f t="shared" si="2"/>
        <v>1.07330016483516</v>
      </c>
      <c r="H29">
        <f t="shared" si="3"/>
        <v>1.10940582417582</v>
      </c>
      <c r="I29">
        <f t="shared" si="4"/>
        <v>1.14551148351649</v>
      </c>
      <c r="J29">
        <f t="shared" si="5"/>
        <v>1.18161714285714</v>
      </c>
      <c r="K29">
        <f t="shared" si="6"/>
        <v>1.2177228021978</v>
      </c>
      <c r="L29">
        <f t="shared" si="7"/>
        <v>1.25382846153846</v>
      </c>
      <c r="M29">
        <f t="shared" si="8"/>
        <v>1.28993412087912</v>
      </c>
      <c r="N29">
        <f t="shared" si="9"/>
        <v>1.32603978021977</v>
      </c>
      <c r="O29">
        <f t="shared" si="10"/>
        <v>1.36214543956044</v>
      </c>
      <c r="P29">
        <f t="shared" si="11"/>
        <v>1.3982510989011</v>
      </c>
      <c r="Q29">
        <f t="shared" si="12"/>
        <v>1.43435675824176</v>
      </c>
      <c r="R29">
        <f t="shared" si="13"/>
        <v>1.47046241758243</v>
      </c>
    </row>
    <row r="30" spans="1:18">
      <c r="A30" s="4">
        <v>0.77378731865311</v>
      </c>
      <c r="B30">
        <v>0.00133826552062937</v>
      </c>
      <c r="C30">
        <v>0.000798846153846221</v>
      </c>
      <c r="D30">
        <v>-1.42899000000013</v>
      </c>
      <c r="E30" s="3" t="s">
        <v>46</v>
      </c>
      <c r="F30">
        <f t="shared" si="1"/>
        <v>0.178288461538461</v>
      </c>
      <c r="G30">
        <f t="shared" si="2"/>
        <v>0.179087307692307</v>
      </c>
      <c r="H30">
        <f t="shared" si="3"/>
        <v>0.179886153846153</v>
      </c>
      <c r="I30">
        <f t="shared" si="4"/>
        <v>0.180685</v>
      </c>
      <c r="J30">
        <f t="shared" si="5"/>
        <v>0.181483846153846</v>
      </c>
      <c r="K30">
        <f t="shared" si="6"/>
        <v>0.182282692307692</v>
      </c>
      <c r="L30">
        <f t="shared" si="7"/>
        <v>0.183081538461538</v>
      </c>
      <c r="M30">
        <f t="shared" si="8"/>
        <v>0.183880384615384</v>
      </c>
      <c r="N30">
        <f t="shared" si="9"/>
        <v>0.184679230769231</v>
      </c>
      <c r="O30">
        <f t="shared" si="10"/>
        <v>0.185478076923077</v>
      </c>
      <c r="P30">
        <f t="shared" si="11"/>
        <v>0.186276923076923</v>
      </c>
      <c r="Q30">
        <f t="shared" si="12"/>
        <v>0.187075769230769</v>
      </c>
      <c r="R30">
        <f t="shared" si="13"/>
        <v>0.187874615384616</v>
      </c>
    </row>
    <row r="31" spans="1:18">
      <c r="A31">
        <v>2.88569855780509e-6</v>
      </c>
      <c r="B31">
        <v>0.0165896887446553</v>
      </c>
      <c r="C31">
        <v>0.0831543956043961</v>
      </c>
      <c r="D31">
        <v>-166.991946483518</v>
      </c>
      <c r="E31" s="3" t="s">
        <v>47</v>
      </c>
      <c r="F31">
        <f t="shared" si="1"/>
        <v>0.314697472527456</v>
      </c>
      <c r="G31">
        <f t="shared" si="2"/>
        <v>0.397851868131852</v>
      </c>
      <c r="H31">
        <f t="shared" si="3"/>
        <v>0.481006263736248</v>
      </c>
      <c r="I31">
        <f t="shared" si="4"/>
        <v>0.564160659340644</v>
      </c>
      <c r="J31">
        <f t="shared" si="5"/>
        <v>0.647315054945039</v>
      </c>
      <c r="K31">
        <f t="shared" si="6"/>
        <v>0.730469450549435</v>
      </c>
      <c r="L31">
        <f t="shared" si="7"/>
        <v>0.813623846153831</v>
      </c>
      <c r="M31">
        <f t="shared" si="8"/>
        <v>0.896778241758227</v>
      </c>
      <c r="N31">
        <f t="shared" si="9"/>
        <v>0.979932637362623</v>
      </c>
      <c r="O31">
        <f t="shared" si="10"/>
        <v>1.06308703296702</v>
      </c>
      <c r="P31">
        <f t="shared" si="11"/>
        <v>1.14624142857141</v>
      </c>
      <c r="Q31">
        <f t="shared" si="12"/>
        <v>1.22939582417581</v>
      </c>
      <c r="R31">
        <f t="shared" si="13"/>
        <v>1.31255021978021</v>
      </c>
    </row>
    <row r="32" spans="1:18">
      <c r="A32">
        <v>0.0125591820455581</v>
      </c>
      <c r="B32">
        <v>0.0964865930590896</v>
      </c>
      <c r="C32">
        <v>0.0685734615384624</v>
      </c>
      <c r="D32">
        <v>-137.554203076925</v>
      </c>
      <c r="E32" s="3" t="s">
        <v>48</v>
      </c>
      <c r="F32">
        <f t="shared" si="1"/>
        <v>0.415601538461516</v>
      </c>
      <c r="G32">
        <f t="shared" si="2"/>
        <v>0.484174999999993</v>
      </c>
      <c r="H32">
        <f t="shared" si="3"/>
        <v>0.552748461538442</v>
      </c>
      <c r="I32">
        <f t="shared" si="4"/>
        <v>0.621321923076891</v>
      </c>
      <c r="J32">
        <f t="shared" si="5"/>
        <v>0.689895384615369</v>
      </c>
      <c r="K32">
        <f t="shared" si="6"/>
        <v>0.758468846153818</v>
      </c>
      <c r="L32">
        <f t="shared" si="7"/>
        <v>0.827042307692295</v>
      </c>
      <c r="M32">
        <f t="shared" si="8"/>
        <v>0.895615769230744</v>
      </c>
      <c r="N32">
        <f t="shared" si="9"/>
        <v>0.964189230769222</v>
      </c>
      <c r="O32">
        <f t="shared" si="10"/>
        <v>1.03276269230767</v>
      </c>
      <c r="P32">
        <f t="shared" si="11"/>
        <v>1.10133615384615</v>
      </c>
      <c r="Q32">
        <f t="shared" si="12"/>
        <v>1.1699096153846</v>
      </c>
      <c r="R32">
        <f t="shared" si="13"/>
        <v>1.23848307692307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2026-01-12T01:52:00Z</dcterms:created>
  <dcterms:modified xsi:type="dcterms:W3CDTF">2026-01-14T02:54:45Z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306283F6F2AC4D85B335EB240042009B_12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