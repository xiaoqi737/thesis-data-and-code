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<sst xmlns="http://schemas.openxmlformats.org/spreadsheetml/2006/main" count="49" uniqueCount="49">
  <si>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r>
      <rPr>
        <sz val="11"/>
        <rFont val="Calibri"/>
        <charset val="134"/>
      </rPr>
      <t>p</t>
    </r>
    <r>
      <rPr>
        <sz val="11"/>
        <rFont val="宋体"/>
        <charset val="134"/>
      </rPr>
      <t>值</t>
    </r>
  </si>
  <si>
    <t>MSE</t>
  </si>
  <si>
    <t>斜率</t>
  </si>
  <si>
    <t>常数</t>
  </si>
  <si>
    <t>地区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</si>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</sst>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 applyFill="1" applyAlignment="1">
      <alignment horizontal="center" wrapText="1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tabSelected="1" workbookViewId="0">
      <selection activeCell="A2" sqref="A2:D32"/>
    </sheetView>
  </sheetViews>
  <sheetFormatPr defaultColWidth="9" defaultRowHeight="14.4"/>
  <cols>
    <col min="1" max="2" width="15.712962962963" customWidth="1"/>
    <col min="3" max="4" width="12.3796296296296" customWidth="1"/>
    <col min="6" max="18" width="12.8888888888889"/>
  </cols>
  <sheetData>
    <row r="1" spans="1:18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>
        <v>5.22950321054779e-6</v>
      </c>
      <c r="B2">
        <v>1022.92123568878</v>
      </c>
      <c r="C2">
        <v>19.4134920329672</v>
      </c>
      <c r="D2">
        <v>-38881.0628386816</v>
      </c>
      <c r="E2" s="3" t="s">
        <v>18</v>
      </c>
      <c r="F2">
        <f>$C2*F$1+$D2</f>
        <v>178.883131648341</v>
      </c>
      <c r="G2">
        <f t="shared" ref="G2:R2" si="0">$C2*G$1+$D2</f>
        <v>198.296623681308</v>
      </c>
      <c r="H2">
        <f t="shared" si="0"/>
        <v>217.710115714275</v>
      </c>
      <c r="I2">
        <f t="shared" si="0"/>
        <v>237.123607747242</v>
      </c>
      <c r="J2">
        <f t="shared" si="0"/>
        <v>256.537099780209</v>
      </c>
      <c r="K2">
        <f t="shared" si="0"/>
        <v>275.950591813176</v>
      </c>
      <c r="L2">
        <f t="shared" si="0"/>
        <v>295.364083846143</v>
      </c>
      <c r="M2">
        <f t="shared" si="0"/>
        <v>314.77757587911</v>
      </c>
      <c r="N2">
        <f t="shared" si="0"/>
        <v>334.191067912077</v>
      </c>
      <c r="O2">
        <f t="shared" si="0"/>
        <v>353.604559945044</v>
      </c>
      <c r="P2">
        <f t="shared" si="0"/>
        <v>373.018051978019</v>
      </c>
      <c r="Q2">
        <f t="shared" si="0"/>
        <v>392.431544010986</v>
      </c>
      <c r="R2">
        <f t="shared" si="0"/>
        <v>411.845036043953</v>
      </c>
    </row>
    <row r="3" spans="1:18">
      <c r="A3" s="4">
        <v>0.515189884959691</v>
      </c>
      <c r="B3">
        <v>2122.77744876162</v>
      </c>
      <c r="C3">
        <v>-2.29646571428577</v>
      </c>
      <c r="D3">
        <v>4915.81906835176</v>
      </c>
      <c r="E3" s="3" t="s">
        <v>19</v>
      </c>
      <c r="F3">
        <f t="shared" ref="F3:F32" si="1">$C3*F$1+$D3</f>
        <v>295.330051208792</v>
      </c>
      <c r="G3">
        <f t="shared" ref="G3:R3" si="2">$C3*G$1+$D3</f>
        <v>293.033585494506</v>
      </c>
      <c r="H3">
        <f t="shared" si="2"/>
        <v>290.73711978022</v>
      </c>
      <c r="I3">
        <f t="shared" si="2"/>
        <v>288.440654065935</v>
      </c>
      <c r="J3">
        <f t="shared" si="2"/>
        <v>286.144188351649</v>
      </c>
      <c r="K3">
        <f t="shared" si="2"/>
        <v>283.847722637363</v>
      </c>
      <c r="L3">
        <f t="shared" si="2"/>
        <v>281.551256923078</v>
      </c>
      <c r="M3">
        <f t="shared" si="2"/>
        <v>279.254791208791</v>
      </c>
      <c r="N3">
        <f t="shared" si="2"/>
        <v>276.958325494506</v>
      </c>
      <c r="O3">
        <f t="shared" si="2"/>
        <v>274.66185978022</v>
      </c>
      <c r="P3">
        <f t="shared" si="2"/>
        <v>272.365394065934</v>
      </c>
      <c r="Q3">
        <f t="shared" si="2"/>
        <v>270.068928351649</v>
      </c>
      <c r="R3">
        <f t="shared" si="2"/>
        <v>267.772462637363</v>
      </c>
    </row>
    <row r="4" spans="1:18">
      <c r="A4">
        <v>3.04633454052639e-9</v>
      </c>
      <c r="B4">
        <v>1376.38104504564</v>
      </c>
      <c r="C4">
        <v>46.729342692308</v>
      </c>
      <c r="D4">
        <v>-93868.2746069236</v>
      </c>
      <c r="E4" s="3" t="s">
        <v>20</v>
      </c>
      <c r="F4">
        <f t="shared" si="1"/>
        <v>151.162889999978</v>
      </c>
      <c r="G4">
        <f t="shared" ref="G4:R4" si="3">$C4*G$1+$D4</f>
        <v>197.892232692291</v>
      </c>
      <c r="H4">
        <f t="shared" si="3"/>
        <v>244.621575384605</v>
      </c>
      <c r="I4">
        <f t="shared" si="3"/>
        <v>291.350918076903</v>
      </c>
      <c r="J4">
        <f t="shared" si="3"/>
        <v>338.080260769217</v>
      </c>
      <c r="K4">
        <f t="shared" si="3"/>
        <v>384.80960346153</v>
      </c>
      <c r="L4">
        <f t="shared" si="3"/>
        <v>431.538946153829</v>
      </c>
      <c r="M4">
        <f t="shared" si="3"/>
        <v>478.268288846142</v>
      </c>
      <c r="N4">
        <f t="shared" si="3"/>
        <v>524.997631538441</v>
      </c>
      <c r="O4">
        <f t="shared" si="3"/>
        <v>571.726974230754</v>
      </c>
      <c r="P4">
        <f t="shared" si="3"/>
        <v>618.456316923068</v>
      </c>
      <c r="Q4">
        <f t="shared" si="3"/>
        <v>665.185659615367</v>
      </c>
      <c r="R4">
        <f t="shared" si="3"/>
        <v>711.91500230768</v>
      </c>
    </row>
    <row r="5" spans="1:18">
      <c r="A5">
        <v>3.94395264764274e-5</v>
      </c>
      <c r="B5">
        <v>431.94236548323</v>
      </c>
      <c r="C5">
        <v>10.1443534065935</v>
      </c>
      <c r="D5">
        <v>-20323.9133514287</v>
      </c>
      <c r="E5" s="3" t="s">
        <v>21</v>
      </c>
      <c r="F5">
        <f t="shared" si="1"/>
        <v>86.525702637362</v>
      </c>
      <c r="G5">
        <f t="shared" ref="G5:R5" si="4">$C5*G$1+$D5</f>
        <v>96.6700560439531</v>
      </c>
      <c r="H5">
        <f t="shared" si="4"/>
        <v>106.814409450548</v>
      </c>
      <c r="I5">
        <f t="shared" si="4"/>
        <v>116.958762857143</v>
      </c>
      <c r="J5">
        <f t="shared" si="4"/>
        <v>127.103116263734</v>
      </c>
      <c r="K5">
        <f t="shared" si="4"/>
        <v>137.247469670328</v>
      </c>
      <c r="L5">
        <f t="shared" si="4"/>
        <v>147.391823076923</v>
      </c>
      <c r="M5">
        <f t="shared" si="4"/>
        <v>157.536176483514</v>
      </c>
      <c r="N5">
        <f t="shared" si="4"/>
        <v>167.680529890109</v>
      </c>
      <c r="O5">
        <f t="shared" si="4"/>
        <v>177.824883296704</v>
      </c>
      <c r="P5">
        <f t="shared" si="4"/>
        <v>187.969236703295</v>
      </c>
      <c r="Q5">
        <f t="shared" si="4"/>
        <v>198.11359010989</v>
      </c>
      <c r="R5">
        <f t="shared" si="4"/>
        <v>208.257943516484</v>
      </c>
    </row>
    <row r="6" spans="1:18">
      <c r="A6">
        <v>3.82408626800032e-5</v>
      </c>
      <c r="B6">
        <v>300.652954130932</v>
      </c>
      <c r="C6">
        <v>8.49263637362642</v>
      </c>
      <c r="D6">
        <v>-17005.604428132</v>
      </c>
      <c r="E6" s="3" t="s">
        <v>22</v>
      </c>
      <c r="F6">
        <f t="shared" si="1"/>
        <v>81.579955604393</v>
      </c>
      <c r="G6">
        <f t="shared" ref="G6:R6" si="5">$C6*G$1+$D6</f>
        <v>90.0725919780198</v>
      </c>
      <c r="H6">
        <f t="shared" si="5"/>
        <v>98.5652283516465</v>
      </c>
      <c r="I6">
        <f t="shared" si="5"/>
        <v>107.057864725273</v>
      </c>
      <c r="J6">
        <f t="shared" si="5"/>
        <v>115.5505010989</v>
      </c>
      <c r="K6">
        <f t="shared" si="5"/>
        <v>124.043137472527</v>
      </c>
      <c r="L6">
        <f t="shared" si="5"/>
        <v>132.535773846153</v>
      </c>
      <c r="M6">
        <f t="shared" si="5"/>
        <v>141.02841021978</v>
      </c>
      <c r="N6">
        <f t="shared" si="5"/>
        <v>149.521046593403</v>
      </c>
      <c r="O6">
        <f t="shared" si="5"/>
        <v>158.01368296703</v>
      </c>
      <c r="P6">
        <f t="shared" si="5"/>
        <v>166.506319340657</v>
      </c>
      <c r="Q6">
        <f t="shared" si="5"/>
        <v>174.998955714284</v>
      </c>
      <c r="R6">
        <f t="shared" si="5"/>
        <v>183.49159208791</v>
      </c>
    </row>
    <row r="7" spans="1:18">
      <c r="A7">
        <v>0.00446334939053948</v>
      </c>
      <c r="B7">
        <v>1549.72143176195</v>
      </c>
      <c r="C7">
        <v>10.3917570329671</v>
      </c>
      <c r="D7">
        <v>-20646.8332394507</v>
      </c>
      <c r="E7" s="3" t="s">
        <v>23</v>
      </c>
      <c r="F7">
        <f t="shared" si="1"/>
        <v>261.381910879121</v>
      </c>
      <c r="G7">
        <f t="shared" ref="G7:R7" si="6">$C7*G$1+$D7</f>
        <v>271.77366791209</v>
      </c>
      <c r="H7">
        <f t="shared" si="6"/>
        <v>282.165424945055</v>
      </c>
      <c r="I7">
        <f t="shared" si="6"/>
        <v>292.557181978023</v>
      </c>
      <c r="J7">
        <f t="shared" si="6"/>
        <v>302.948939010988</v>
      </c>
      <c r="K7">
        <f t="shared" si="6"/>
        <v>313.340696043957</v>
      </c>
      <c r="L7">
        <f t="shared" si="6"/>
        <v>323.732453076922</v>
      </c>
      <c r="M7">
        <f t="shared" si="6"/>
        <v>334.124210109891</v>
      </c>
      <c r="N7">
        <f t="shared" si="6"/>
        <v>344.515967142859</v>
      </c>
      <c r="O7">
        <f t="shared" si="6"/>
        <v>354.907724175824</v>
      </c>
      <c r="P7">
        <f t="shared" si="6"/>
        <v>365.299481208793</v>
      </c>
      <c r="Q7">
        <f t="shared" si="6"/>
        <v>375.691238241758</v>
      </c>
      <c r="R7">
        <f t="shared" si="6"/>
        <v>386.082995274726</v>
      </c>
    </row>
    <row r="8" spans="1:18">
      <c r="A8">
        <v>0.0114024261597732</v>
      </c>
      <c r="B8">
        <v>175.515862555193</v>
      </c>
      <c r="C8">
        <v>2.97779104395607</v>
      </c>
      <c r="D8">
        <v>-5927.18470208796</v>
      </c>
      <c r="E8" s="3" t="s">
        <v>24</v>
      </c>
      <c r="F8">
        <f t="shared" si="1"/>
        <v>64.130878351647</v>
      </c>
      <c r="G8">
        <f t="shared" ref="G8:R8" si="7">$C8*G$1+$D8</f>
        <v>67.1086693956031</v>
      </c>
      <c r="H8">
        <f t="shared" si="7"/>
        <v>70.0864604395592</v>
      </c>
      <c r="I8">
        <f t="shared" si="7"/>
        <v>73.0642514835154</v>
      </c>
      <c r="J8">
        <f t="shared" si="7"/>
        <v>76.0420425274715</v>
      </c>
      <c r="K8">
        <f t="shared" si="7"/>
        <v>79.0198335714276</v>
      </c>
      <c r="L8">
        <f t="shared" si="7"/>
        <v>81.9976246153838</v>
      </c>
      <c r="M8">
        <f t="shared" si="7"/>
        <v>84.9754156593399</v>
      </c>
      <c r="N8">
        <f t="shared" si="7"/>
        <v>87.953206703296</v>
      </c>
      <c r="O8">
        <f t="shared" si="7"/>
        <v>90.9309977472521</v>
      </c>
      <c r="P8">
        <f t="shared" si="7"/>
        <v>93.9087887912083</v>
      </c>
      <c r="Q8">
        <f t="shared" si="7"/>
        <v>96.8865798351644</v>
      </c>
      <c r="R8">
        <f t="shared" si="7"/>
        <v>99.8643708791205</v>
      </c>
    </row>
    <row r="9" spans="1:18">
      <c r="A9" s="4">
        <v>0.363655120433545</v>
      </c>
      <c r="B9">
        <v>205.96565029112</v>
      </c>
      <c r="C9">
        <v>1.00812824175827</v>
      </c>
      <c r="D9">
        <v>-1945.30689879126</v>
      </c>
      <c r="E9" s="3" t="s">
        <v>25</v>
      </c>
      <c r="F9">
        <f t="shared" si="1"/>
        <v>83.0471236263734</v>
      </c>
      <c r="G9">
        <f t="shared" ref="G9:R9" si="8">$C9*G$1+$D9</f>
        <v>84.0552518681318</v>
      </c>
      <c r="H9">
        <f t="shared" si="8"/>
        <v>85.06338010989</v>
      </c>
      <c r="I9">
        <f t="shared" si="8"/>
        <v>86.0715083516482</v>
      </c>
      <c r="J9">
        <f t="shared" si="8"/>
        <v>87.0796365934066</v>
      </c>
      <c r="K9">
        <f t="shared" si="8"/>
        <v>88.0877648351648</v>
      </c>
      <c r="L9">
        <f t="shared" si="8"/>
        <v>89.0958930769232</v>
      </c>
      <c r="M9">
        <f t="shared" si="8"/>
        <v>90.1040213186814</v>
      </c>
      <c r="N9">
        <f t="shared" si="8"/>
        <v>91.1121495604395</v>
      </c>
      <c r="O9">
        <f t="shared" si="8"/>
        <v>92.120277802198</v>
      </c>
      <c r="P9">
        <f t="shared" si="8"/>
        <v>93.1284060439561</v>
      </c>
      <c r="Q9">
        <f t="shared" si="8"/>
        <v>94.1365342857143</v>
      </c>
      <c r="R9">
        <f t="shared" si="8"/>
        <v>95.1446625274727</v>
      </c>
    </row>
    <row r="10" spans="1:18">
      <c r="A10">
        <v>4.21419927075562e-10</v>
      </c>
      <c r="B10">
        <v>695.756170623182</v>
      </c>
      <c r="C10">
        <v>39.9792946703299</v>
      </c>
      <c r="D10">
        <v>-80089.6469147257</v>
      </c>
      <c r="E10" s="3" t="s">
        <v>26</v>
      </c>
      <c r="F10">
        <f t="shared" si="1"/>
        <v>348.693961978017</v>
      </c>
      <c r="G10">
        <f t="shared" ref="G10:R10" si="9">$C10*G$1+$D10</f>
        <v>388.673256648341</v>
      </c>
      <c r="H10">
        <f t="shared" si="9"/>
        <v>428.652551318679</v>
      </c>
      <c r="I10">
        <f t="shared" si="9"/>
        <v>468.631845989003</v>
      </c>
      <c r="J10">
        <f t="shared" si="9"/>
        <v>508.611140659326</v>
      </c>
      <c r="K10">
        <f t="shared" si="9"/>
        <v>548.590435329665</v>
      </c>
      <c r="L10">
        <f t="shared" si="9"/>
        <v>588.569729999988</v>
      </c>
      <c r="M10">
        <f t="shared" si="9"/>
        <v>628.549024670327</v>
      </c>
      <c r="N10">
        <f t="shared" si="9"/>
        <v>668.52831934065</v>
      </c>
      <c r="O10">
        <f t="shared" si="9"/>
        <v>708.507614010989</v>
      </c>
      <c r="P10">
        <f t="shared" si="9"/>
        <v>748.486908681312</v>
      </c>
      <c r="Q10">
        <f t="shared" si="9"/>
        <v>788.466203351636</v>
      </c>
      <c r="R10">
        <f t="shared" si="9"/>
        <v>828.445498021974</v>
      </c>
    </row>
    <row r="11" spans="1:18">
      <c r="A11">
        <v>2.61437375545893e-10</v>
      </c>
      <c r="B11">
        <v>16570.498159429</v>
      </c>
      <c r="C11">
        <v>203.967716923078</v>
      </c>
      <c r="D11">
        <v>-409462.157470002</v>
      </c>
      <c r="E11" s="3" t="s">
        <v>27</v>
      </c>
      <c r="F11">
        <f t="shared" si="1"/>
        <v>920.888979230716</v>
      </c>
      <c r="G11">
        <f t="shared" ref="G11:R11" si="10">$C11*G$1+$D11</f>
        <v>1124.85669615376</v>
      </c>
      <c r="H11">
        <f t="shared" si="10"/>
        <v>1328.82441307686</v>
      </c>
      <c r="I11">
        <f t="shared" si="10"/>
        <v>1532.7921299999</v>
      </c>
      <c r="J11">
        <f t="shared" si="10"/>
        <v>1736.759846923</v>
      </c>
      <c r="K11">
        <f t="shared" si="10"/>
        <v>1940.7275638461</v>
      </c>
      <c r="L11">
        <f t="shared" si="10"/>
        <v>2144.69528076914</v>
      </c>
      <c r="M11">
        <f t="shared" si="10"/>
        <v>2348.66299769224</v>
      </c>
      <c r="N11">
        <f t="shared" si="10"/>
        <v>2552.63071461534</v>
      </c>
      <c r="O11">
        <f t="shared" si="10"/>
        <v>2756.59843153838</v>
      </c>
      <c r="P11">
        <f t="shared" si="10"/>
        <v>2960.56614846148</v>
      </c>
      <c r="Q11">
        <f t="shared" si="10"/>
        <v>3164.53386538452</v>
      </c>
      <c r="R11">
        <f t="shared" si="10"/>
        <v>3368.50158230762</v>
      </c>
    </row>
    <row r="12" spans="1:18">
      <c r="A12">
        <v>2.14950674878215e-11</v>
      </c>
      <c r="B12">
        <v>3467.6837913293</v>
      </c>
      <c r="C12">
        <v>117.572190000001</v>
      </c>
      <c r="D12">
        <v>-236042.371757693</v>
      </c>
      <c r="E12" s="3" t="s">
        <v>28</v>
      </c>
      <c r="F12">
        <f t="shared" si="1"/>
        <v>512.874522307684</v>
      </c>
      <c r="G12">
        <f t="shared" ref="G12:R12" si="11">$C12*G$1+$D12</f>
        <v>630.44671230769</v>
      </c>
      <c r="H12">
        <f t="shared" si="11"/>
        <v>748.018902307696</v>
      </c>
      <c r="I12">
        <f t="shared" si="11"/>
        <v>865.591092307674</v>
      </c>
      <c r="J12">
        <f t="shared" si="11"/>
        <v>983.16328230768</v>
      </c>
      <c r="K12">
        <f t="shared" si="11"/>
        <v>1100.73547230769</v>
      </c>
      <c r="L12">
        <f t="shared" si="11"/>
        <v>1218.30766230769</v>
      </c>
      <c r="M12">
        <f t="shared" si="11"/>
        <v>1335.8798523077</v>
      </c>
      <c r="N12">
        <f t="shared" si="11"/>
        <v>1453.45204230768</v>
      </c>
      <c r="O12">
        <f t="shared" si="11"/>
        <v>1571.02423230768</v>
      </c>
      <c r="P12">
        <f t="shared" si="11"/>
        <v>1688.59642230769</v>
      </c>
      <c r="Q12">
        <f t="shared" si="11"/>
        <v>1806.16861230769</v>
      </c>
      <c r="R12">
        <f t="shared" si="11"/>
        <v>1923.7408023077</v>
      </c>
    </row>
    <row r="13" spans="1:18">
      <c r="A13">
        <v>2.6744628735013e-10</v>
      </c>
      <c r="B13">
        <v>1800.3381141667</v>
      </c>
      <c r="C13">
        <v>67.0893479670333</v>
      </c>
      <c r="D13">
        <v>-134842.463124396</v>
      </c>
      <c r="E13" s="3" t="s">
        <v>29</v>
      </c>
      <c r="F13">
        <f t="shared" si="1"/>
        <v>141.304985274706</v>
      </c>
      <c r="G13">
        <f t="shared" ref="G13:R13" si="12">$C13*G$1+$D13</f>
        <v>208.39433324174</v>
      </c>
      <c r="H13">
        <f t="shared" si="12"/>
        <v>275.483681208774</v>
      </c>
      <c r="I13">
        <f t="shared" si="12"/>
        <v>342.573029175808</v>
      </c>
      <c r="J13">
        <f t="shared" si="12"/>
        <v>409.662377142842</v>
      </c>
      <c r="K13">
        <f t="shared" si="12"/>
        <v>476.751725109876</v>
      </c>
      <c r="L13">
        <f t="shared" si="12"/>
        <v>543.84107307691</v>
      </c>
      <c r="M13">
        <f t="shared" si="12"/>
        <v>610.930421043944</v>
      </c>
      <c r="N13">
        <f t="shared" si="12"/>
        <v>678.019769010978</v>
      </c>
      <c r="O13">
        <f t="shared" si="12"/>
        <v>745.109116978012</v>
      </c>
      <c r="P13">
        <f t="shared" si="12"/>
        <v>812.198464945046</v>
      </c>
      <c r="Q13">
        <f t="shared" si="12"/>
        <v>879.28781291208</v>
      </c>
      <c r="R13">
        <f t="shared" si="12"/>
        <v>946.377160879114</v>
      </c>
    </row>
    <row r="14" spans="1:18">
      <c r="A14">
        <v>1.72582543143261e-10</v>
      </c>
      <c r="B14">
        <v>1556.48855955899</v>
      </c>
      <c r="C14">
        <v>64.9701841208794</v>
      </c>
      <c r="D14">
        <v>-130545.506689012</v>
      </c>
      <c r="E14" s="3" t="s">
        <v>30</v>
      </c>
      <c r="F14">
        <f t="shared" si="1"/>
        <v>174.503762197768</v>
      </c>
      <c r="G14">
        <f t="shared" ref="G14:R14" si="13">$C14*G$1+$D14</f>
        <v>239.473946318656</v>
      </c>
      <c r="H14">
        <f t="shared" si="13"/>
        <v>304.44413043953</v>
      </c>
      <c r="I14">
        <f t="shared" si="13"/>
        <v>369.414314560403</v>
      </c>
      <c r="J14">
        <f t="shared" si="13"/>
        <v>434.384498681291</v>
      </c>
      <c r="K14">
        <f t="shared" si="13"/>
        <v>499.354682802164</v>
      </c>
      <c r="L14">
        <f t="shared" si="13"/>
        <v>564.324866923052</v>
      </c>
      <c r="M14">
        <f t="shared" si="13"/>
        <v>629.295051043926</v>
      </c>
      <c r="N14">
        <f t="shared" si="13"/>
        <v>694.265235164799</v>
      </c>
      <c r="O14">
        <f t="shared" si="13"/>
        <v>759.235419285673</v>
      </c>
      <c r="P14">
        <f t="shared" si="13"/>
        <v>824.205603406575</v>
      </c>
      <c r="Q14">
        <f t="shared" si="13"/>
        <v>889.175787527449</v>
      </c>
      <c r="R14">
        <f t="shared" si="13"/>
        <v>954.145971648322</v>
      </c>
    </row>
    <row r="15" spans="1:18">
      <c r="A15">
        <v>2.509901901054e-11</v>
      </c>
      <c r="B15">
        <v>365.974298080936</v>
      </c>
      <c r="C15">
        <v>37.6533436263738</v>
      </c>
      <c r="D15">
        <v>-75703.2688557147</v>
      </c>
      <c r="E15" s="3" t="s">
        <v>31</v>
      </c>
      <c r="F15">
        <f t="shared" si="1"/>
        <v>55.2585205494252</v>
      </c>
      <c r="G15">
        <f t="shared" ref="G15:R15" si="14">$C15*G$1+$D15</f>
        <v>92.9118641758105</v>
      </c>
      <c r="H15">
        <f t="shared" si="14"/>
        <v>130.565207802181</v>
      </c>
      <c r="I15">
        <f t="shared" si="14"/>
        <v>168.218551428552</v>
      </c>
      <c r="J15">
        <f t="shared" si="14"/>
        <v>205.871895054923</v>
      </c>
      <c r="K15">
        <f t="shared" si="14"/>
        <v>243.525238681308</v>
      </c>
      <c r="L15">
        <f t="shared" si="14"/>
        <v>281.178582307679</v>
      </c>
      <c r="M15">
        <f t="shared" si="14"/>
        <v>318.83192593405</v>
      </c>
      <c r="N15">
        <f t="shared" si="14"/>
        <v>356.48526956042</v>
      </c>
      <c r="O15">
        <f t="shared" si="14"/>
        <v>394.138613186791</v>
      </c>
      <c r="P15">
        <f t="shared" si="14"/>
        <v>431.791956813177</v>
      </c>
      <c r="Q15">
        <f t="shared" si="14"/>
        <v>469.445300439547</v>
      </c>
      <c r="R15">
        <f t="shared" si="14"/>
        <v>507.098644065918</v>
      </c>
    </row>
    <row r="16" spans="1:18">
      <c r="A16">
        <v>3.36251959709332e-5</v>
      </c>
      <c r="B16">
        <v>21546.148687548</v>
      </c>
      <c r="C16">
        <v>72.9321218681323</v>
      </c>
      <c r="D16">
        <v>-145748.561231429</v>
      </c>
      <c r="E16" s="3" t="s">
        <v>32</v>
      </c>
      <c r="F16">
        <f t="shared" si="1"/>
        <v>990.867967252736</v>
      </c>
      <c r="G16">
        <f t="shared" ref="G16:R16" si="15">$C16*G$1+$D16</f>
        <v>1063.80008912086</v>
      </c>
      <c r="H16">
        <f t="shared" si="15"/>
        <v>1136.73221098899</v>
      </c>
      <c r="I16">
        <f t="shared" si="15"/>
        <v>1209.66433285712</v>
      </c>
      <c r="J16">
        <f t="shared" si="15"/>
        <v>1282.59645472525</v>
      </c>
      <c r="K16">
        <f t="shared" si="15"/>
        <v>1355.52857659338</v>
      </c>
      <c r="L16">
        <f t="shared" si="15"/>
        <v>1428.46069846154</v>
      </c>
      <c r="M16">
        <f t="shared" si="15"/>
        <v>1501.39282032967</v>
      </c>
      <c r="N16">
        <f t="shared" si="15"/>
        <v>1574.3249421978</v>
      </c>
      <c r="O16">
        <f t="shared" si="15"/>
        <v>1647.25706406593</v>
      </c>
      <c r="P16">
        <f t="shared" si="15"/>
        <v>1720.18918593405</v>
      </c>
      <c r="Q16">
        <f t="shared" si="15"/>
        <v>1793.12130780218</v>
      </c>
      <c r="R16">
        <f t="shared" si="15"/>
        <v>1866.05342967031</v>
      </c>
    </row>
    <row r="17" spans="1:18">
      <c r="A17">
        <v>3.09304111345156e-11</v>
      </c>
      <c r="B17">
        <v>1012.00080871897</v>
      </c>
      <c r="C17">
        <v>61.4185592307695</v>
      </c>
      <c r="D17">
        <v>-123371.544887693</v>
      </c>
      <c r="E17" s="3" t="s">
        <v>33</v>
      </c>
      <c r="F17">
        <f t="shared" si="1"/>
        <v>202.596284615385</v>
      </c>
      <c r="G17">
        <f t="shared" ref="G17:R17" si="16">$C17*G$1+$D17</f>
        <v>264.014843846147</v>
      </c>
      <c r="H17">
        <f t="shared" si="16"/>
        <v>325.433403076924</v>
      </c>
      <c r="I17">
        <f t="shared" si="16"/>
        <v>386.851962307686</v>
      </c>
      <c r="J17">
        <f t="shared" si="16"/>
        <v>448.270521538463</v>
      </c>
      <c r="K17">
        <f t="shared" si="16"/>
        <v>509.689080769225</v>
      </c>
      <c r="L17">
        <f t="shared" si="16"/>
        <v>571.107640000002</v>
      </c>
      <c r="M17">
        <f t="shared" si="16"/>
        <v>632.526199230764</v>
      </c>
      <c r="N17">
        <f t="shared" si="16"/>
        <v>693.944758461541</v>
      </c>
      <c r="O17">
        <f t="shared" si="16"/>
        <v>755.363317692303</v>
      </c>
      <c r="P17">
        <f t="shared" si="16"/>
        <v>816.78187692308</v>
      </c>
      <c r="Q17">
        <f t="shared" si="16"/>
        <v>878.200436153842</v>
      </c>
      <c r="R17">
        <f t="shared" si="16"/>
        <v>939.618995384619</v>
      </c>
    </row>
    <row r="18" spans="1:18">
      <c r="A18">
        <v>1.59319222391833e-9</v>
      </c>
      <c r="B18">
        <v>1797.18799800263</v>
      </c>
      <c r="C18">
        <v>56.7484659890113</v>
      </c>
      <c r="D18">
        <v>-113951.15830044</v>
      </c>
      <c r="E18" s="3" t="s">
        <v>34</v>
      </c>
      <c r="F18">
        <f t="shared" si="1"/>
        <v>226.755269450543</v>
      </c>
      <c r="G18">
        <f t="shared" ref="G18:R18" si="17">$C18*G$1+$D18</f>
        <v>283.503735439561</v>
      </c>
      <c r="H18">
        <f t="shared" si="17"/>
        <v>340.252201428564</v>
      </c>
      <c r="I18">
        <f t="shared" si="17"/>
        <v>397.000667417582</v>
      </c>
      <c r="J18">
        <f t="shared" si="17"/>
        <v>453.749133406585</v>
      </c>
      <c r="K18">
        <f t="shared" si="17"/>
        <v>510.497599395603</v>
      </c>
      <c r="L18">
        <f t="shared" si="17"/>
        <v>567.246065384621</v>
      </c>
      <c r="M18">
        <f t="shared" si="17"/>
        <v>623.994531373624</v>
      </c>
      <c r="N18">
        <f t="shared" si="17"/>
        <v>680.742997362642</v>
      </c>
      <c r="O18">
        <f t="shared" si="17"/>
        <v>737.491463351646</v>
      </c>
      <c r="P18">
        <f t="shared" si="17"/>
        <v>794.239929340663</v>
      </c>
      <c r="Q18">
        <f t="shared" si="17"/>
        <v>850.988395329667</v>
      </c>
      <c r="R18">
        <f t="shared" si="17"/>
        <v>907.736861318685</v>
      </c>
    </row>
    <row r="19" spans="1:18">
      <c r="A19">
        <v>1.56928208976933e-10</v>
      </c>
      <c r="B19">
        <v>1601.37967830752</v>
      </c>
      <c r="C19">
        <v>66.4842687912091</v>
      </c>
      <c r="D19">
        <v>-133599.160738352</v>
      </c>
      <c r="E19" s="3" t="s">
        <v>35</v>
      </c>
      <c r="F19">
        <f t="shared" si="1"/>
        <v>167.188069560449</v>
      </c>
      <c r="G19">
        <f t="shared" ref="G19:R19" si="18">$C19*G$1+$D19</f>
        <v>233.672338351636</v>
      </c>
      <c r="H19">
        <f t="shared" si="18"/>
        <v>300.156607142853</v>
      </c>
      <c r="I19">
        <f t="shared" si="18"/>
        <v>366.64087593407</v>
      </c>
      <c r="J19">
        <f t="shared" si="18"/>
        <v>433.125144725287</v>
      </c>
      <c r="K19">
        <f t="shared" si="18"/>
        <v>499.609413516475</v>
      </c>
      <c r="L19">
        <f t="shared" si="18"/>
        <v>566.093682307692</v>
      </c>
      <c r="M19">
        <f t="shared" si="18"/>
        <v>632.577951098909</v>
      </c>
      <c r="N19">
        <f t="shared" si="18"/>
        <v>699.062219890096</v>
      </c>
      <c r="O19">
        <f t="shared" si="18"/>
        <v>765.546488681313</v>
      </c>
      <c r="P19">
        <f t="shared" si="18"/>
        <v>832.03075747253</v>
      </c>
      <c r="Q19">
        <f t="shared" si="18"/>
        <v>898.515026263747</v>
      </c>
      <c r="R19">
        <f t="shared" si="18"/>
        <v>964.999295054935</v>
      </c>
    </row>
    <row r="20" spans="1:18">
      <c r="A20">
        <v>1.11101081524389e-10</v>
      </c>
      <c r="B20">
        <v>16680.1318865828</v>
      </c>
      <c r="C20">
        <v>221.550559175825</v>
      </c>
      <c r="D20">
        <v>-444863.924809123</v>
      </c>
      <c r="E20" s="3" t="s">
        <v>36</v>
      </c>
      <c r="F20">
        <f t="shared" si="1"/>
        <v>895.80025263736</v>
      </c>
      <c r="G20">
        <f t="shared" ref="G20:R20" si="19">$C20*G$1+$D20</f>
        <v>1117.35081181314</v>
      </c>
      <c r="H20">
        <f t="shared" si="19"/>
        <v>1338.90137098898</v>
      </c>
      <c r="I20">
        <f t="shared" si="19"/>
        <v>1560.45193016483</v>
      </c>
      <c r="J20">
        <f t="shared" si="19"/>
        <v>1782.00248934067</v>
      </c>
      <c r="K20">
        <f t="shared" si="19"/>
        <v>2003.55304851645</v>
      </c>
      <c r="L20">
        <f t="shared" si="19"/>
        <v>2225.10360769229</v>
      </c>
      <c r="M20">
        <f t="shared" si="19"/>
        <v>2446.65416686813</v>
      </c>
      <c r="N20">
        <f t="shared" si="19"/>
        <v>2668.20472604397</v>
      </c>
      <c r="O20">
        <f t="shared" si="19"/>
        <v>2889.75528521976</v>
      </c>
      <c r="P20">
        <f t="shared" si="19"/>
        <v>3111.3058443956</v>
      </c>
      <c r="Q20">
        <f t="shared" si="19"/>
        <v>3332.85640357144</v>
      </c>
      <c r="R20">
        <f t="shared" si="19"/>
        <v>3554.40696274722</v>
      </c>
    </row>
    <row r="21" spans="1:18">
      <c r="A21">
        <v>1.40707299069566e-6</v>
      </c>
      <c r="B21">
        <v>135.283219175405</v>
      </c>
      <c r="C21">
        <v>8.08061532967038</v>
      </c>
      <c r="D21">
        <v>-16198.3751229671</v>
      </c>
      <c r="E21" s="3" t="s">
        <v>37</v>
      </c>
      <c r="F21">
        <f t="shared" si="1"/>
        <v>59.8229203296705</v>
      </c>
      <c r="G21">
        <f t="shared" ref="G21:R21" si="20">$C21*G$1+$D21</f>
        <v>67.9035356593395</v>
      </c>
      <c r="H21">
        <f t="shared" si="20"/>
        <v>75.9841509890102</v>
      </c>
      <c r="I21">
        <f t="shared" si="20"/>
        <v>84.064766318681</v>
      </c>
      <c r="J21">
        <f t="shared" si="20"/>
        <v>92.1453816483518</v>
      </c>
      <c r="K21">
        <f t="shared" si="20"/>
        <v>100.225996978023</v>
      </c>
      <c r="L21">
        <f t="shared" si="20"/>
        <v>108.306612307691</v>
      </c>
      <c r="M21">
        <f t="shared" si="20"/>
        <v>116.387227637362</v>
      </c>
      <c r="N21">
        <f t="shared" si="20"/>
        <v>124.467842967033</v>
      </c>
      <c r="O21">
        <f t="shared" si="20"/>
        <v>132.548458296704</v>
      </c>
      <c r="P21">
        <f t="shared" si="20"/>
        <v>140.629073626375</v>
      </c>
      <c r="Q21">
        <f t="shared" si="20"/>
        <v>148.709688956043</v>
      </c>
      <c r="R21">
        <f t="shared" si="20"/>
        <v>156.790304285714</v>
      </c>
    </row>
    <row r="22" spans="1:18">
      <c r="A22">
        <v>0.000372149433462566</v>
      </c>
      <c r="B22">
        <v>5.68294768483044</v>
      </c>
      <c r="C22">
        <v>0.892342637362641</v>
      </c>
      <c r="D22">
        <v>-1788.60045219781</v>
      </c>
      <c r="E22" s="3" t="s">
        <v>38</v>
      </c>
      <c r="F22">
        <f t="shared" si="1"/>
        <v>6.79293417582403</v>
      </c>
      <c r="G22">
        <f t="shared" ref="G22:R22" si="21">$C22*G$1+$D22</f>
        <v>7.68527681318665</v>
      </c>
      <c r="H22">
        <f t="shared" si="21"/>
        <v>8.57761945054926</v>
      </c>
      <c r="I22">
        <f t="shared" si="21"/>
        <v>9.46996208791211</v>
      </c>
      <c r="J22">
        <f t="shared" si="21"/>
        <v>10.3623047252747</v>
      </c>
      <c r="K22">
        <f t="shared" si="21"/>
        <v>11.2546473626373</v>
      </c>
      <c r="L22">
        <f t="shared" si="21"/>
        <v>12.14699</v>
      </c>
      <c r="M22">
        <f t="shared" si="21"/>
        <v>13.0393326373626</v>
      </c>
      <c r="N22">
        <f t="shared" si="21"/>
        <v>13.9316752747252</v>
      </c>
      <c r="O22">
        <f t="shared" si="21"/>
        <v>14.8240179120878</v>
      </c>
      <c r="P22">
        <f t="shared" si="21"/>
        <v>15.7163605494504</v>
      </c>
      <c r="Q22">
        <f t="shared" si="21"/>
        <v>16.608703186813</v>
      </c>
      <c r="R22">
        <f t="shared" si="21"/>
        <v>17.5010458241759</v>
      </c>
    </row>
    <row r="23" spans="1:18">
      <c r="A23">
        <v>2.92518480991293e-13</v>
      </c>
      <c r="B23">
        <v>144.835130708566</v>
      </c>
      <c r="C23">
        <v>35.6463747802199</v>
      </c>
      <c r="D23">
        <v>-71621.0693241762</v>
      </c>
      <c r="E23" s="3" t="s">
        <v>39</v>
      </c>
      <c r="F23">
        <f t="shared" si="1"/>
        <v>99.4367336263676</v>
      </c>
      <c r="G23">
        <f t="shared" ref="G23:R23" si="22">$C23*G$1+$D23</f>
        <v>135.083108406587</v>
      </c>
      <c r="H23">
        <f t="shared" si="22"/>
        <v>170.729483186806</v>
      </c>
      <c r="I23">
        <f t="shared" si="22"/>
        <v>206.375857967025</v>
      </c>
      <c r="J23">
        <f t="shared" si="22"/>
        <v>242.022232747244</v>
      </c>
      <c r="K23">
        <f t="shared" si="22"/>
        <v>277.668607527463</v>
      </c>
      <c r="L23">
        <f t="shared" si="22"/>
        <v>313.314982307682</v>
      </c>
      <c r="M23">
        <f t="shared" si="22"/>
        <v>348.961357087901</v>
      </c>
      <c r="N23">
        <f t="shared" si="22"/>
        <v>384.60773186812</v>
      </c>
      <c r="O23">
        <f t="shared" si="22"/>
        <v>420.254106648339</v>
      </c>
      <c r="P23">
        <f t="shared" si="22"/>
        <v>455.900481428558</v>
      </c>
      <c r="Q23">
        <f t="shared" si="22"/>
        <v>491.546856208777</v>
      </c>
      <c r="R23">
        <f t="shared" si="22"/>
        <v>527.193230989011</v>
      </c>
    </row>
    <row r="24" spans="1:18">
      <c r="A24">
        <v>7.57270061936894e-12</v>
      </c>
      <c r="B24">
        <v>355.591044859102</v>
      </c>
      <c r="C24">
        <v>41.4451841758244</v>
      </c>
      <c r="D24">
        <v>-83277.0956637367</v>
      </c>
      <c r="E24" s="3" t="s">
        <v>40</v>
      </c>
      <c r="F24">
        <f t="shared" si="1"/>
        <v>110.614898021959</v>
      </c>
      <c r="G24">
        <f t="shared" ref="G24:R24" si="23">$C24*G$1+$D24</f>
        <v>152.060082197786</v>
      </c>
      <c r="H24">
        <f t="shared" si="23"/>
        <v>193.505266373613</v>
      </c>
      <c r="I24">
        <f t="shared" si="23"/>
        <v>234.950450549441</v>
      </c>
      <c r="J24">
        <f t="shared" si="23"/>
        <v>276.395634725253</v>
      </c>
      <c r="K24">
        <f t="shared" si="23"/>
        <v>317.840818901081</v>
      </c>
      <c r="L24">
        <f t="shared" si="23"/>
        <v>359.286003076908</v>
      </c>
      <c r="M24">
        <f t="shared" si="23"/>
        <v>400.731187252735</v>
      </c>
      <c r="N24">
        <f t="shared" si="23"/>
        <v>442.176371428563</v>
      </c>
      <c r="O24">
        <f t="shared" si="23"/>
        <v>483.621555604375</v>
      </c>
      <c r="P24">
        <f t="shared" si="23"/>
        <v>525.066739780203</v>
      </c>
      <c r="Q24">
        <f t="shared" si="23"/>
        <v>566.51192395603</v>
      </c>
      <c r="R24">
        <f t="shared" si="23"/>
        <v>607.957108131857</v>
      </c>
    </row>
    <row r="25" spans="1:18">
      <c r="A25">
        <v>1.01020867625074e-9</v>
      </c>
      <c r="B25">
        <v>49.3780849076106</v>
      </c>
      <c r="C25">
        <v>9.8162845604396</v>
      </c>
      <c r="D25">
        <v>-19727.8594883517</v>
      </c>
      <c r="E25" s="3" t="s">
        <v>41</v>
      </c>
      <c r="F25">
        <f t="shared" si="1"/>
        <v>22.5050472527473</v>
      </c>
      <c r="G25">
        <f t="shared" ref="G25:R25" si="24">$C25*G$1+$D25</f>
        <v>32.3213318131857</v>
      </c>
      <c r="H25">
        <f t="shared" si="24"/>
        <v>42.137616373624</v>
      </c>
      <c r="I25">
        <f t="shared" si="24"/>
        <v>51.953900934066</v>
      </c>
      <c r="J25">
        <f t="shared" si="24"/>
        <v>61.7701854945044</v>
      </c>
      <c r="K25">
        <f t="shared" si="24"/>
        <v>71.5864700549428</v>
      </c>
      <c r="L25">
        <f t="shared" si="24"/>
        <v>81.4027546153848</v>
      </c>
      <c r="M25">
        <f t="shared" si="24"/>
        <v>91.2190391758231</v>
      </c>
      <c r="N25">
        <f t="shared" si="24"/>
        <v>101.035323736261</v>
      </c>
      <c r="O25">
        <f t="shared" si="24"/>
        <v>110.851608296703</v>
      </c>
      <c r="P25">
        <f t="shared" si="24"/>
        <v>120.667892857142</v>
      </c>
      <c r="Q25">
        <f t="shared" si="24"/>
        <v>130.48417741758</v>
      </c>
      <c r="R25">
        <f t="shared" si="24"/>
        <v>140.300461978022</v>
      </c>
    </row>
    <row r="26" spans="1:18">
      <c r="A26">
        <v>5.62960510169223e-10</v>
      </c>
      <c r="B26">
        <v>132.104913213008</v>
      </c>
      <c r="C26">
        <v>16.9569727472528</v>
      </c>
      <c r="D26">
        <v>-34099.3850278024</v>
      </c>
      <c r="E26" s="3" t="s">
        <v>42</v>
      </c>
      <c r="F26">
        <f t="shared" si="1"/>
        <v>18.0441396703245</v>
      </c>
      <c r="G26">
        <f t="shared" ref="G26:R26" si="25">$C26*G$1+$D26</f>
        <v>35.0011124175799</v>
      </c>
      <c r="H26">
        <f t="shared" si="25"/>
        <v>51.9580851648352</v>
      </c>
      <c r="I26">
        <f t="shared" si="25"/>
        <v>68.9150579120833</v>
      </c>
      <c r="J26">
        <f t="shared" si="25"/>
        <v>85.8720306593386</v>
      </c>
      <c r="K26">
        <f t="shared" si="25"/>
        <v>102.829003406594</v>
      </c>
      <c r="L26">
        <f t="shared" si="25"/>
        <v>119.785976153842</v>
      </c>
      <c r="M26">
        <f t="shared" si="25"/>
        <v>136.742948901097</v>
      </c>
      <c r="N26">
        <f t="shared" si="25"/>
        <v>153.699921648353</v>
      </c>
      <c r="O26">
        <f t="shared" si="25"/>
        <v>170.656894395601</v>
      </c>
      <c r="P26">
        <f t="shared" si="25"/>
        <v>187.613867142856</v>
      </c>
      <c r="Q26">
        <f t="shared" si="25"/>
        <v>204.570839890112</v>
      </c>
      <c r="R26">
        <f t="shared" si="25"/>
        <v>221.52781263736</v>
      </c>
    </row>
    <row r="27" spans="1:18">
      <c r="A27">
        <v>0.00745780270429079</v>
      </c>
      <c r="B27">
        <v>0.236766040701898</v>
      </c>
      <c r="C27">
        <v>0.117962967032967</v>
      </c>
      <c r="D27">
        <v>-237.188032087911</v>
      </c>
      <c r="E27" s="3" t="s">
        <v>43</v>
      </c>
      <c r="F27">
        <f t="shared" si="1"/>
        <v>0.153457582417559</v>
      </c>
      <c r="G27">
        <f t="shared" ref="G27:R27" si="26">$C27*G$1+$D27</f>
        <v>0.271420549450539</v>
      </c>
      <c r="H27">
        <f t="shared" si="26"/>
        <v>0.389383516483491</v>
      </c>
      <c r="I27">
        <f t="shared" si="26"/>
        <v>0.507346483516471</v>
      </c>
      <c r="J27">
        <f t="shared" si="26"/>
        <v>0.625309450549423</v>
      </c>
      <c r="K27">
        <f t="shared" si="26"/>
        <v>0.743272417582403</v>
      </c>
      <c r="L27">
        <f t="shared" si="26"/>
        <v>0.861235384615355</v>
      </c>
      <c r="M27">
        <f t="shared" si="26"/>
        <v>0.979198351648336</v>
      </c>
      <c r="N27">
        <f t="shared" si="26"/>
        <v>1.09716131868129</v>
      </c>
      <c r="O27">
        <f t="shared" si="26"/>
        <v>1.21512428571427</v>
      </c>
      <c r="P27">
        <f t="shared" si="26"/>
        <v>1.33308725274725</v>
      </c>
      <c r="Q27">
        <f t="shared" si="26"/>
        <v>1.4510502197802</v>
      </c>
      <c r="R27">
        <f t="shared" si="26"/>
        <v>1.56901318681318</v>
      </c>
    </row>
    <row r="28" spans="1:18">
      <c r="A28">
        <v>4.41819394170477e-9</v>
      </c>
      <c r="B28">
        <v>382.819483772641</v>
      </c>
      <c r="C28">
        <v>23.796068846154</v>
      </c>
      <c r="D28">
        <v>-47777.7055423079</v>
      </c>
      <c r="E28" s="3" t="s">
        <v>44</v>
      </c>
      <c r="F28">
        <f t="shared" si="1"/>
        <v>99.9849761538499</v>
      </c>
      <c r="G28">
        <f t="shared" ref="G28:R28" si="27">$C28*G$1+$D28</f>
        <v>123.781045000003</v>
      </c>
      <c r="H28">
        <f t="shared" si="27"/>
        <v>147.577113846157</v>
      </c>
      <c r="I28">
        <f t="shared" si="27"/>
        <v>171.37318269231</v>
      </c>
      <c r="J28">
        <f t="shared" si="27"/>
        <v>195.169251538464</v>
      </c>
      <c r="K28">
        <f t="shared" si="27"/>
        <v>218.965320384617</v>
      </c>
      <c r="L28">
        <f t="shared" si="27"/>
        <v>242.761389230771</v>
      </c>
      <c r="M28">
        <f t="shared" si="27"/>
        <v>266.557458076924</v>
      </c>
      <c r="N28">
        <f t="shared" si="27"/>
        <v>290.353526923078</v>
      </c>
      <c r="O28">
        <f t="shared" si="27"/>
        <v>314.149595769231</v>
      </c>
      <c r="P28">
        <f t="shared" si="27"/>
        <v>337.945664615385</v>
      </c>
      <c r="Q28">
        <f t="shared" si="27"/>
        <v>361.741733461538</v>
      </c>
      <c r="R28">
        <f t="shared" si="27"/>
        <v>385.537802307692</v>
      </c>
    </row>
    <row r="29" spans="1:18">
      <c r="A29">
        <v>7.90379163671498e-6</v>
      </c>
      <c r="B29">
        <v>38.0018683027881</v>
      </c>
      <c r="C29">
        <v>3.58284016483518</v>
      </c>
      <c r="D29">
        <v>-7175.08879956047</v>
      </c>
      <c r="E29" s="3" t="s">
        <v>45</v>
      </c>
      <c r="F29">
        <f t="shared" si="1"/>
        <v>33.5856120879107</v>
      </c>
      <c r="G29">
        <f t="shared" ref="G29:R29" si="28">$C29*G$1+$D29</f>
        <v>37.1684522527457</v>
      </c>
      <c r="H29">
        <f t="shared" si="28"/>
        <v>40.7512924175817</v>
      </c>
      <c r="I29">
        <f t="shared" si="28"/>
        <v>44.3341325824167</v>
      </c>
      <c r="J29">
        <f t="shared" si="28"/>
        <v>47.9169727472517</v>
      </c>
      <c r="K29">
        <f t="shared" si="28"/>
        <v>51.4998129120868</v>
      </c>
      <c r="L29">
        <f t="shared" si="28"/>
        <v>55.0826530769218</v>
      </c>
      <c r="M29">
        <f t="shared" si="28"/>
        <v>58.6654932417568</v>
      </c>
      <c r="N29">
        <f t="shared" si="28"/>
        <v>62.2483334065928</v>
      </c>
      <c r="O29">
        <f t="shared" si="28"/>
        <v>65.8311735714278</v>
      </c>
      <c r="P29">
        <f t="shared" si="28"/>
        <v>69.4140137362629</v>
      </c>
      <c r="Q29">
        <f t="shared" si="28"/>
        <v>72.9968539010979</v>
      </c>
      <c r="R29">
        <f t="shared" si="28"/>
        <v>76.5796940659329</v>
      </c>
    </row>
    <row r="30" spans="1:18">
      <c r="A30">
        <v>0.000717957437101877</v>
      </c>
      <c r="B30">
        <v>4.01002850146464</v>
      </c>
      <c r="C30">
        <v>0.688574230769235</v>
      </c>
      <c r="D30">
        <v>-1379.13143923078</v>
      </c>
      <c r="E30" s="3" t="s">
        <v>46</v>
      </c>
      <c r="F30">
        <f t="shared" si="1"/>
        <v>6.27991307692309</v>
      </c>
      <c r="G30">
        <f t="shared" ref="G30:R30" si="29">$C30*G$1+$D30</f>
        <v>6.96848730769238</v>
      </c>
      <c r="H30">
        <f t="shared" si="29"/>
        <v>7.65706153846145</v>
      </c>
      <c r="I30">
        <f t="shared" si="29"/>
        <v>8.34563576923074</v>
      </c>
      <c r="J30">
        <f t="shared" si="29"/>
        <v>9.03421000000003</v>
      </c>
      <c r="K30">
        <f t="shared" si="29"/>
        <v>9.72278423076932</v>
      </c>
      <c r="L30">
        <f t="shared" si="29"/>
        <v>10.4113584615384</v>
      </c>
      <c r="M30">
        <f t="shared" si="29"/>
        <v>11.0999326923077</v>
      </c>
      <c r="N30">
        <f t="shared" si="29"/>
        <v>11.788506923077</v>
      </c>
      <c r="O30">
        <f t="shared" si="29"/>
        <v>12.4770811538463</v>
      </c>
      <c r="P30">
        <f t="shared" si="29"/>
        <v>13.1656553846153</v>
      </c>
      <c r="Q30">
        <f t="shared" si="29"/>
        <v>13.8542296153846</v>
      </c>
      <c r="R30">
        <f t="shared" si="29"/>
        <v>14.5428038461539</v>
      </c>
    </row>
    <row r="31" spans="1:18">
      <c r="A31">
        <v>6.64512494251822e-10</v>
      </c>
      <c r="B31">
        <v>11.5111831588687</v>
      </c>
      <c r="C31">
        <v>4.9286835714286</v>
      </c>
      <c r="D31">
        <v>-9908.02099406599</v>
      </c>
      <c r="E31" s="3" t="s">
        <v>47</v>
      </c>
      <c r="F31">
        <f t="shared" si="1"/>
        <v>8.49035164835004</v>
      </c>
      <c r="G31">
        <f t="shared" ref="G31:R31" si="30">$C31*G$1+$D31</f>
        <v>13.4190352197784</v>
      </c>
      <c r="H31">
        <f t="shared" si="30"/>
        <v>18.3477187912067</v>
      </c>
      <c r="I31">
        <f t="shared" si="30"/>
        <v>23.2764023626351</v>
      </c>
      <c r="J31">
        <f t="shared" si="30"/>
        <v>28.2050859340634</v>
      </c>
      <c r="K31">
        <f t="shared" si="30"/>
        <v>33.1337695054935</v>
      </c>
      <c r="L31">
        <f t="shared" si="30"/>
        <v>38.0624530769219</v>
      </c>
      <c r="M31">
        <f t="shared" si="30"/>
        <v>42.9911366483502</v>
      </c>
      <c r="N31">
        <f t="shared" si="30"/>
        <v>47.9198202197786</v>
      </c>
      <c r="O31">
        <f t="shared" si="30"/>
        <v>52.8485037912069</v>
      </c>
      <c r="P31">
        <f t="shared" si="30"/>
        <v>57.7771873626352</v>
      </c>
      <c r="Q31">
        <f t="shared" si="30"/>
        <v>62.7058709340636</v>
      </c>
      <c r="R31">
        <f t="shared" si="30"/>
        <v>67.6345545054937</v>
      </c>
    </row>
    <row r="32" spans="1:18">
      <c r="A32">
        <v>5.26280096478464e-5</v>
      </c>
      <c r="B32">
        <v>87.3650195666056</v>
      </c>
      <c r="C32">
        <v>4.41653148351651</v>
      </c>
      <c r="D32">
        <v>-8864.14182758248</v>
      </c>
      <c r="E32" s="3" t="s">
        <v>48</v>
      </c>
      <c r="F32">
        <f t="shared" si="1"/>
        <v>21.919517252747</v>
      </c>
      <c r="G32">
        <f t="shared" ref="G32:R32" si="31">$C32*G$1+$D32</f>
        <v>26.3360487362625</v>
      </c>
      <c r="H32">
        <f t="shared" si="31"/>
        <v>30.7525802197797</v>
      </c>
      <c r="I32">
        <f t="shared" si="31"/>
        <v>35.1691117032951</v>
      </c>
      <c r="J32">
        <f t="shared" si="31"/>
        <v>39.5856431868124</v>
      </c>
      <c r="K32">
        <f t="shared" si="31"/>
        <v>44.0021746703278</v>
      </c>
      <c r="L32">
        <f t="shared" si="31"/>
        <v>48.4187061538451</v>
      </c>
      <c r="M32">
        <f t="shared" si="31"/>
        <v>52.8352376373623</v>
      </c>
      <c r="N32">
        <f t="shared" si="31"/>
        <v>57.2517691208777</v>
      </c>
      <c r="O32">
        <f t="shared" si="31"/>
        <v>61.668300604395</v>
      </c>
      <c r="P32">
        <f t="shared" si="31"/>
        <v>66.0848320879104</v>
      </c>
      <c r="Q32">
        <f t="shared" si="31"/>
        <v>70.5013635714276</v>
      </c>
      <c r="R32">
        <f t="shared" si="31"/>
        <v>74.9178950549449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赵文玉</cp:lastModifiedBy>
  <dcterms:created xsi:type="dcterms:W3CDTF">2026-01-12T01:52:00Z</dcterms:created>
  <dcterms:modified xsi:type="dcterms:W3CDTF">2026-01-14T02:54:47Z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3938AA49093A46F99132A6D843A25ABC_12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